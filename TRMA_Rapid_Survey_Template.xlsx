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ony\Downloads\"/>
    </mc:Choice>
  </mc:AlternateContent>
  <xr:revisionPtr revIDLastSave="0" documentId="8_{CF7719A9-DE64-4E28-BA93-5DD906E1FC95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Instructions" sheetId="1" r:id="rId1"/>
    <sheet name="A - Acquisition &amp; Retention" sheetId="2" r:id="rId2"/>
    <sheet name="Phase B - Decision" sheetId="3" r:id="rId3"/>
    <sheet name="Phase C - Payments" sheetId="4" r:id="rId4"/>
    <sheet name="Phase D - Accounts Receivable" sheetId="5" r:id="rId5"/>
    <sheet name="Phase E - Write-Off" sheetId="6" r:id="rId6"/>
    <sheet name="Phase F - Recovery" sheetId="7" r:id="rId7"/>
  </sheets>
  <definedNames>
    <definedName name="_xlnm.Print_Titles" localSheetId="1">'A - Acquisition &amp; Retention'!$4:$4</definedName>
    <definedName name="_xlnm.Print_Titles" localSheetId="2">'Phase B - Decision'!$4:$4</definedName>
    <definedName name="_xlnm.Print_Titles" localSheetId="3">'Phase C - Payments'!$4:$4</definedName>
    <definedName name="_xlnm.Print_Titles" localSheetId="4">'Phase D - Accounts Receivable'!$4:$4</definedName>
    <definedName name="_xlnm.Print_Titles" localSheetId="5">'Phase E - Write-Off'!$4:$4</definedName>
    <definedName name="_xlnm.Print_Titles" localSheetId="6">'Phase F - Recovery'!$4:$4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61" i="7" l="1"/>
  <c r="P59" i="7"/>
  <c r="P58" i="7"/>
  <c r="P57" i="7"/>
  <c r="P55" i="7"/>
  <c r="P54" i="7"/>
  <c r="P53" i="7"/>
  <c r="P52" i="7"/>
  <c r="P51" i="7"/>
  <c r="P50" i="7"/>
  <c r="P49" i="7"/>
  <c r="P48" i="7"/>
  <c r="P46" i="7"/>
  <c r="P39" i="7"/>
  <c r="L39" i="7"/>
  <c r="L46" i="7" s="1"/>
  <c r="K39" i="7"/>
  <c r="K46" i="7" s="1"/>
  <c r="J39" i="7"/>
  <c r="J46" i="7" s="1"/>
  <c r="D39" i="7"/>
  <c r="P32" i="7"/>
  <c r="O32" i="7"/>
  <c r="O39" i="7" s="1"/>
  <c r="O46" i="7" s="1"/>
  <c r="N32" i="7"/>
  <c r="N39" i="7" s="1"/>
  <c r="N46" i="7" s="1"/>
  <c r="M32" i="7"/>
  <c r="M39" i="7" s="1"/>
  <c r="M46" i="7" s="1"/>
  <c r="L32" i="7"/>
  <c r="K32" i="7"/>
  <c r="J32" i="7"/>
  <c r="I32" i="7"/>
  <c r="I39" i="7" s="1"/>
  <c r="I46" i="7" s="1"/>
  <c r="H32" i="7"/>
  <c r="H39" i="7" s="1"/>
  <c r="H46" i="7" s="1"/>
  <c r="G32" i="7"/>
  <c r="G39" i="7" s="1"/>
  <c r="G46" i="7" s="1"/>
  <c r="F32" i="7"/>
  <c r="F39" i="7" s="1"/>
  <c r="F46" i="7" s="1"/>
  <c r="E32" i="7"/>
  <c r="E39" i="7" s="1"/>
  <c r="E46" i="7" s="1"/>
  <c r="D32" i="7"/>
  <c r="P56" i="7" s="1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P8" i="7"/>
  <c r="P40" i="6"/>
  <c r="P37" i="6"/>
  <c r="P31" i="6"/>
  <c r="O31" i="6"/>
  <c r="N31" i="6"/>
  <c r="M31" i="6"/>
  <c r="L31" i="6"/>
  <c r="K31" i="6"/>
  <c r="H31" i="6"/>
  <c r="G31" i="6"/>
  <c r="F31" i="6"/>
  <c r="E31" i="6"/>
  <c r="D31" i="6"/>
  <c r="P24" i="6"/>
  <c r="O24" i="6"/>
  <c r="N24" i="6"/>
  <c r="M24" i="6"/>
  <c r="L24" i="6"/>
  <c r="K24" i="6"/>
  <c r="J24" i="6"/>
  <c r="J31" i="6" s="1"/>
  <c r="I24" i="6"/>
  <c r="I31" i="6" s="1"/>
  <c r="H24" i="6"/>
  <c r="G24" i="6"/>
  <c r="F24" i="6"/>
  <c r="E24" i="6"/>
  <c r="D24" i="6"/>
  <c r="N23" i="6"/>
  <c r="N30" i="6" s="1"/>
  <c r="N37" i="6" s="1"/>
  <c r="M23" i="6"/>
  <c r="M30" i="6" s="1"/>
  <c r="M37" i="6" s="1"/>
  <c r="F23" i="6"/>
  <c r="F30" i="6" s="1"/>
  <c r="F37" i="6" s="1"/>
  <c r="E23" i="6"/>
  <c r="E30" i="6" s="1"/>
  <c r="E37" i="6" s="1"/>
  <c r="P18" i="6"/>
  <c r="O17" i="6"/>
  <c r="N17" i="6"/>
  <c r="M17" i="6"/>
  <c r="L17" i="6"/>
  <c r="L23" i="6" s="1"/>
  <c r="L30" i="6" s="1"/>
  <c r="L37" i="6" s="1"/>
  <c r="K17" i="6"/>
  <c r="K23" i="6" s="1"/>
  <c r="K30" i="6" s="1"/>
  <c r="K37" i="6" s="1"/>
  <c r="J17" i="6"/>
  <c r="J23" i="6" s="1"/>
  <c r="J30" i="6" s="1"/>
  <c r="J37" i="6" s="1"/>
  <c r="I17" i="6"/>
  <c r="I23" i="6" s="1"/>
  <c r="I30" i="6" s="1"/>
  <c r="I37" i="6" s="1"/>
  <c r="H17" i="6"/>
  <c r="G17" i="6"/>
  <c r="F17" i="6"/>
  <c r="E17" i="6"/>
  <c r="D17" i="6"/>
  <c r="D23" i="6" s="1"/>
  <c r="O16" i="6"/>
  <c r="O23" i="6" s="1"/>
  <c r="O30" i="6" s="1"/>
  <c r="O37" i="6" s="1"/>
  <c r="N16" i="6"/>
  <c r="M16" i="6"/>
  <c r="L16" i="6"/>
  <c r="K16" i="6"/>
  <c r="J16" i="6"/>
  <c r="I16" i="6"/>
  <c r="H16" i="6"/>
  <c r="H23" i="6" s="1"/>
  <c r="H30" i="6" s="1"/>
  <c r="H37" i="6" s="1"/>
  <c r="G16" i="6"/>
  <c r="G23" i="6" s="1"/>
  <c r="G30" i="6" s="1"/>
  <c r="G37" i="6" s="1"/>
  <c r="F16" i="6"/>
  <c r="E16" i="6"/>
  <c r="D16" i="6"/>
  <c r="P17" i="6" s="1"/>
  <c r="P11" i="6"/>
  <c r="O10" i="6"/>
  <c r="N10" i="6"/>
  <c r="M10" i="6"/>
  <c r="L10" i="6"/>
  <c r="K10" i="6"/>
  <c r="J10" i="6"/>
  <c r="I10" i="6"/>
  <c r="H10" i="6"/>
  <c r="G10" i="6"/>
  <c r="F10" i="6"/>
  <c r="E10" i="6"/>
  <c r="D10" i="6"/>
  <c r="P10" i="6" s="1"/>
  <c r="O9" i="6"/>
  <c r="N9" i="6"/>
  <c r="M9" i="6"/>
  <c r="L9" i="6"/>
  <c r="K9" i="6"/>
  <c r="J9" i="6"/>
  <c r="I9" i="6"/>
  <c r="H9" i="6"/>
  <c r="G9" i="6"/>
  <c r="F9" i="6"/>
  <c r="E9" i="6"/>
  <c r="D9" i="6"/>
  <c r="P37" i="5"/>
  <c r="P35" i="5"/>
  <c r="P34" i="5"/>
  <c r="P33" i="5"/>
  <c r="P32" i="5"/>
  <c r="P31" i="5"/>
  <c r="P27" i="5"/>
  <c r="K27" i="5"/>
  <c r="K31" i="5" s="1"/>
  <c r="J27" i="5"/>
  <c r="J31" i="5" s="1"/>
  <c r="I27" i="5"/>
  <c r="I31" i="5" s="1"/>
  <c r="P19" i="5"/>
  <c r="O19" i="5"/>
  <c r="O27" i="5" s="1"/>
  <c r="O31" i="5" s="1"/>
  <c r="N19" i="5"/>
  <c r="N27" i="5" s="1"/>
  <c r="N31" i="5" s="1"/>
  <c r="M19" i="5"/>
  <c r="M27" i="5" s="1"/>
  <c r="M31" i="5" s="1"/>
  <c r="L19" i="5"/>
  <c r="L27" i="5" s="1"/>
  <c r="L31" i="5" s="1"/>
  <c r="K19" i="5"/>
  <c r="J19" i="5"/>
  <c r="I19" i="5"/>
  <c r="H19" i="5"/>
  <c r="H27" i="5" s="1"/>
  <c r="H31" i="5" s="1"/>
  <c r="G19" i="5"/>
  <c r="G27" i="5" s="1"/>
  <c r="G31" i="5" s="1"/>
  <c r="F19" i="5"/>
  <c r="F27" i="5" s="1"/>
  <c r="F31" i="5" s="1"/>
  <c r="E19" i="5"/>
  <c r="E27" i="5" s="1"/>
  <c r="E31" i="5" s="1"/>
  <c r="D19" i="5"/>
  <c r="D27" i="5" s="1"/>
  <c r="P11" i="5"/>
  <c r="P46" i="4"/>
  <c r="P45" i="4"/>
  <c r="P44" i="4"/>
  <c r="P38" i="4"/>
  <c r="O38" i="4"/>
  <c r="O44" i="4" s="1"/>
  <c r="N38" i="4"/>
  <c r="N44" i="4" s="1"/>
  <c r="M38" i="4"/>
  <c r="M44" i="4" s="1"/>
  <c r="G38" i="4"/>
  <c r="G44" i="4" s="1"/>
  <c r="F38" i="4"/>
  <c r="F44" i="4" s="1"/>
  <c r="E38" i="4"/>
  <c r="E44" i="4" s="1"/>
  <c r="P25" i="4"/>
  <c r="O25" i="4"/>
  <c r="N25" i="4"/>
  <c r="M25" i="4"/>
  <c r="L25" i="4"/>
  <c r="L38" i="4" s="1"/>
  <c r="L44" i="4" s="1"/>
  <c r="K25" i="4"/>
  <c r="K38" i="4" s="1"/>
  <c r="K44" i="4" s="1"/>
  <c r="J25" i="4"/>
  <c r="J38" i="4" s="1"/>
  <c r="J44" i="4" s="1"/>
  <c r="I25" i="4"/>
  <c r="I38" i="4" s="1"/>
  <c r="I44" i="4" s="1"/>
  <c r="H25" i="4"/>
  <c r="H38" i="4" s="1"/>
  <c r="H44" i="4" s="1"/>
  <c r="G25" i="4"/>
  <c r="F25" i="4"/>
  <c r="E25" i="4"/>
  <c r="D25" i="4"/>
  <c r="D38" i="4" s="1"/>
  <c r="P12" i="4"/>
  <c r="P20" i="3"/>
  <c r="P19" i="3"/>
  <c r="P18" i="3"/>
  <c r="P17" i="3"/>
  <c r="N17" i="3"/>
  <c r="M17" i="3"/>
  <c r="L17" i="3"/>
  <c r="F17" i="3"/>
  <c r="E17" i="3"/>
  <c r="D17" i="3"/>
  <c r="P12" i="3"/>
  <c r="O12" i="3"/>
  <c r="O17" i="3" s="1"/>
  <c r="N12" i="3"/>
  <c r="M12" i="3"/>
  <c r="L12" i="3"/>
  <c r="K12" i="3"/>
  <c r="K17" i="3" s="1"/>
  <c r="J12" i="3"/>
  <c r="J17" i="3" s="1"/>
  <c r="I12" i="3"/>
  <c r="P21" i="3" s="1"/>
  <c r="H12" i="3"/>
  <c r="H17" i="3" s="1"/>
  <c r="G12" i="3"/>
  <c r="G17" i="3" s="1"/>
  <c r="F12" i="3"/>
  <c r="E12" i="3"/>
  <c r="D12" i="3"/>
  <c r="P8" i="3"/>
  <c r="P122" i="2"/>
  <c r="P121" i="2"/>
  <c r="P120" i="2"/>
  <c r="P118" i="2"/>
  <c r="P110" i="2"/>
  <c r="P109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P97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P79" i="2"/>
  <c r="P69" i="2"/>
  <c r="P61" i="2"/>
  <c r="P50" i="2"/>
  <c r="P43" i="2"/>
  <c r="P34" i="2"/>
  <c r="P27" i="2"/>
  <c r="O27" i="2"/>
  <c r="O34" i="2" s="1"/>
  <c r="O43" i="2" s="1"/>
  <c r="O50" i="2" s="1"/>
  <c r="O61" i="2" s="1"/>
  <c r="O69" i="2" s="1"/>
  <c r="O79" i="2" s="1"/>
  <c r="O97" i="2" s="1"/>
  <c r="I27" i="2"/>
  <c r="I34" i="2" s="1"/>
  <c r="I43" i="2" s="1"/>
  <c r="I50" i="2" s="1"/>
  <c r="I61" i="2" s="1"/>
  <c r="I69" i="2" s="1"/>
  <c r="I79" i="2" s="1"/>
  <c r="I97" i="2" s="1"/>
  <c r="H27" i="2"/>
  <c r="H34" i="2" s="1"/>
  <c r="H43" i="2" s="1"/>
  <c r="H50" i="2" s="1"/>
  <c r="H61" i="2" s="1"/>
  <c r="H69" i="2" s="1"/>
  <c r="H79" i="2" s="1"/>
  <c r="H97" i="2" s="1"/>
  <c r="G27" i="2"/>
  <c r="G34" i="2" s="1"/>
  <c r="G43" i="2" s="1"/>
  <c r="G50" i="2" s="1"/>
  <c r="G61" i="2" s="1"/>
  <c r="G69" i="2" s="1"/>
  <c r="G79" i="2" s="1"/>
  <c r="G97" i="2" s="1"/>
  <c r="P22" i="2"/>
  <c r="O22" i="2"/>
  <c r="N22" i="2"/>
  <c r="N27" i="2" s="1"/>
  <c r="N34" i="2" s="1"/>
  <c r="N43" i="2" s="1"/>
  <c r="N50" i="2" s="1"/>
  <c r="N61" i="2" s="1"/>
  <c r="N69" i="2" s="1"/>
  <c r="N79" i="2" s="1"/>
  <c r="N97" i="2" s="1"/>
  <c r="M22" i="2"/>
  <c r="M27" i="2" s="1"/>
  <c r="M34" i="2" s="1"/>
  <c r="M43" i="2" s="1"/>
  <c r="M50" i="2" s="1"/>
  <c r="M61" i="2" s="1"/>
  <c r="M69" i="2" s="1"/>
  <c r="M79" i="2" s="1"/>
  <c r="M97" i="2" s="1"/>
  <c r="L22" i="2"/>
  <c r="L27" i="2" s="1"/>
  <c r="L34" i="2" s="1"/>
  <c r="L43" i="2" s="1"/>
  <c r="L50" i="2" s="1"/>
  <c r="L61" i="2" s="1"/>
  <c r="L69" i="2" s="1"/>
  <c r="L79" i="2" s="1"/>
  <c r="L97" i="2" s="1"/>
  <c r="K22" i="2"/>
  <c r="K27" i="2" s="1"/>
  <c r="K34" i="2" s="1"/>
  <c r="K43" i="2" s="1"/>
  <c r="K50" i="2" s="1"/>
  <c r="K61" i="2" s="1"/>
  <c r="K69" i="2" s="1"/>
  <c r="K79" i="2" s="1"/>
  <c r="K97" i="2" s="1"/>
  <c r="J22" i="2"/>
  <c r="J27" i="2" s="1"/>
  <c r="J34" i="2" s="1"/>
  <c r="J43" i="2" s="1"/>
  <c r="J50" i="2" s="1"/>
  <c r="J61" i="2" s="1"/>
  <c r="J69" i="2" s="1"/>
  <c r="J79" i="2" s="1"/>
  <c r="J97" i="2" s="1"/>
  <c r="I22" i="2"/>
  <c r="H22" i="2"/>
  <c r="G22" i="2"/>
  <c r="F22" i="2"/>
  <c r="F27" i="2" s="1"/>
  <c r="F34" i="2" s="1"/>
  <c r="F43" i="2" s="1"/>
  <c r="F50" i="2" s="1"/>
  <c r="F61" i="2" s="1"/>
  <c r="F69" i="2" s="1"/>
  <c r="F79" i="2" s="1"/>
  <c r="F97" i="2" s="1"/>
  <c r="E22" i="2"/>
  <c r="E27" i="2" s="1"/>
  <c r="E34" i="2" s="1"/>
  <c r="E43" i="2" s="1"/>
  <c r="E50" i="2" s="1"/>
  <c r="E61" i="2" s="1"/>
  <c r="E69" i="2" s="1"/>
  <c r="E79" i="2" s="1"/>
  <c r="E97" i="2" s="1"/>
  <c r="D22" i="2"/>
  <c r="P111" i="2" s="1"/>
  <c r="O11" i="2"/>
  <c r="N11" i="2"/>
  <c r="M11" i="2"/>
  <c r="L11" i="2"/>
  <c r="K11" i="2"/>
  <c r="J11" i="2"/>
  <c r="I11" i="2"/>
  <c r="H11" i="2"/>
  <c r="P11" i="2" s="1"/>
  <c r="G11" i="2"/>
  <c r="F11" i="2"/>
  <c r="E11" i="2"/>
  <c r="D11" i="2"/>
  <c r="P32" i="6" l="1"/>
  <c r="D30" i="6"/>
  <c r="D37" i="6" s="1"/>
  <c r="P60" i="7"/>
  <c r="P48" i="4"/>
  <c r="D44" i="4"/>
  <c r="D31" i="5"/>
  <c r="P38" i="5"/>
  <c r="P25" i="6"/>
  <c r="P47" i="4"/>
  <c r="D27" i="2"/>
  <c r="I17" i="3"/>
  <c r="P36" i="5"/>
  <c r="D46" i="7"/>
  <c r="P112" i="2" l="1"/>
  <c r="D34" i="2"/>
  <c r="P113" i="2" l="1"/>
  <c r="D43" i="2"/>
  <c r="D50" i="2" l="1"/>
  <c r="P114" i="2"/>
  <c r="D61" i="2" l="1"/>
  <c r="P115" i="2"/>
  <c r="D69" i="2" l="1"/>
  <c r="P116" i="2"/>
  <c r="P117" i="2" l="1"/>
  <c r="D79" i="2"/>
  <c r="P119" i="2" l="1"/>
  <c r="D97" i="2"/>
</calcChain>
</file>

<file path=xl/sharedStrings.xml><?xml version="1.0" encoding="utf-8"?>
<sst xmlns="http://schemas.openxmlformats.org/spreadsheetml/2006/main" count="953" uniqueCount="532">
  <si>
    <t>TRMA Rapid Survey — Data Entry Template</t>
  </si>
  <si>
    <t>This template is for entering raw operational data for the TRMA Benchmarking Rapid Survey.</t>
  </si>
  <si>
    <t>HOW TO USE THIS TEMPLATE:</t>
  </si>
  <si>
    <t>1. Each tab represents one phase of the credit lifecycle (A through F).</t>
  </si>
  <si>
    <t>2. Enter your data in the YELLOW cells for each month.</t>
  </si>
  <si>
    <t>3. Blue italic rows are auto-calculated — do NOT enter data there.</t>
  </si>
  <si>
    <t>4. Use 0 (zero) if the value is zero.</t>
  </si>
  <si>
    <t>5. Use NA if the metric is not applicable to your company.</t>
  </si>
  <si>
    <t>6. Do NOT leave cells blank — use 0 or NA.</t>
  </si>
  <si>
    <t>DATA TYPES:</t>
  </si>
  <si>
    <t>#  = Count (whole number)</t>
  </si>
  <si>
    <t>$  = Dollar amount</t>
  </si>
  <si>
    <t>Days = Number of days</t>
  </si>
  <si>
    <t>%  = Percentage (enter as decimal, e.g., 0.25 for 25%)</t>
  </si>
  <si>
    <t>PHASES:</t>
  </si>
  <si>
    <t>Phase A — Acquisition &amp; Retention: Applications, activations, deposits, active accounts</t>
  </si>
  <si>
    <t>Phase B — Decision: Never/non-pay rates, fraud, existing base monitoring</t>
  </si>
  <si>
    <t>Phase C — Payments: Billing methods, payment channels &amp; methods, reversals</t>
  </si>
  <si>
    <t>Phase D — Accounts Receivable: AR aging, DSO, roll rates, bad debt</t>
  </si>
  <si>
    <t>Phase E — Write-Off: Write-off distribution, churn, disconnect rates</t>
  </si>
  <si>
    <t>Phase F — Recovery: Placements, commissions, recovery rates, net back</t>
  </si>
  <si>
    <t>AFTER COMPLETING:</t>
  </si>
  <si>
    <t>Upload this file at: https://trma2026.github.io/trma-benchmarking/</t>
  </si>
  <si>
    <t>Your data will be submitted anonymously — no company name is stored.</t>
  </si>
  <si>
    <t>Questions? Contact the TRMA Executive Director.</t>
  </si>
  <si>
    <t>⚠ CURRENT COLLECTION PERIOD</t>
  </si>
  <si>
    <t>Currently collect Phase E — Write-Off data only. Please complete the Phase E tab and leave all other tabs blank.</t>
  </si>
  <si>
    <t>TRMA Rapid Survey — Phase A: Acquisition &amp; Retention</t>
  </si>
  <si>
    <t>Enter raw data in the yellow cells for each month. Blue italic rows are auto-calculated — do NOT enter values there. Use 0 for zero, NA if not applicable.</t>
  </si>
  <si>
    <t>Ref</t>
  </si>
  <si>
    <t>Data Item</t>
  </si>
  <si>
    <t>Type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</si>
  <si>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</si>
  <si>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</si>
  <si>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</si>
  <si>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</si>
  <si>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</si>
  <si>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</si>
  <si>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</si>
  <si>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</si>
  <si>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</si>
  <si>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</si>
  <si>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</si>
  <si>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</si>
  <si>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Total</t>
  </si>
  <si>
    <t>Applications by Type</t>
  </si>
  <si>
    <t>1a</t>
  </si>
  <si>
    <t>Prime Applications</t>
  </si>
  <si>
    <t>#</t>
  </si>
  <si>
    <t>1b</t>
  </si>
  <si>
    <t>Subprime Applications</t>
  </si>
  <si>
    <t>1c</t>
  </si>
  <si>
    <t>No Hit Applications (Customer Initiated)</t>
  </si>
  <si>
    <t>1d</t>
  </si>
  <si>
    <t>Unscored Applications (Company Initiated)</t>
  </si>
  <si>
    <t>1.0</t>
  </si>
  <si>
    <t>► otal applications (auto-calculated)</t>
  </si>
  <si>
    <t>►</t>
  </si>
  <si>
    <t>► Section Total — Applications by Type (#)</t>
  </si>
  <si>
    <t>Applications by Sales Channel</t>
  </si>
  <si>
    <t>2a</t>
  </si>
  <si>
    <t>Direct - Retail Stores</t>
  </si>
  <si>
    <t>2b</t>
  </si>
  <si>
    <t>Direct - Direct Sales</t>
  </si>
  <si>
    <t>2c</t>
  </si>
  <si>
    <t>Direct - Call Centers</t>
  </si>
  <si>
    <t>2d</t>
  </si>
  <si>
    <t>Direct - Company Websites</t>
  </si>
  <si>
    <t>2e</t>
  </si>
  <si>
    <t>Direct - Other</t>
  </si>
  <si>
    <t>2.1</t>
  </si>
  <si>
    <t>► irect total (auto-calculated)</t>
  </si>
  <si>
    <t>2.2</t>
  </si>
  <si>
    <t>Indirect</t>
  </si>
  <si>
    <t>2.3</t>
  </si>
  <si>
    <t>Unknown</t>
  </si>
  <si>
    <t>2.0</t>
  </si>
  <si>
    <t>► otal applications by channel (auto-calculated)</t>
  </si>
  <si>
    <t>► Section Total — Apps by Channel (#)</t>
  </si>
  <si>
    <t>No Hits</t>
  </si>
  <si>
    <t>3.0</t>
  </si>
  <si>
    <t>Total No Hits</t>
  </si>
  <si>
    <t>3a</t>
  </si>
  <si>
    <t>Bureau No Hits</t>
  </si>
  <si>
    <t>3b</t>
  </si>
  <si>
    <t>Company No Hits</t>
  </si>
  <si>
    <t>► Section Total — No Hits (#)</t>
  </si>
  <si>
    <t>Manual Reviews</t>
  </si>
  <si>
    <t>4.0</t>
  </si>
  <si>
    <t>Total Manual Reviews</t>
  </si>
  <si>
    <t>4.1</t>
  </si>
  <si>
    <t>Manual Reviews - Direct</t>
  </si>
  <si>
    <t>4.2</t>
  </si>
  <si>
    <t>Manual Reviews - Indirect</t>
  </si>
  <si>
    <t>4.3</t>
  </si>
  <si>
    <t>Manual Reviews - Unknown</t>
  </si>
  <si>
    <t>5.0</t>
  </si>
  <si>
    <t>Manually Reviewed &amp; Rejected (Fraud)</t>
  </si>
  <si>
    <t>► Section Total — Manual Reviews (#)</t>
  </si>
  <si>
    <t>Risk Mitigation - Applications</t>
  </si>
  <si>
    <t>6.0</t>
  </si>
  <si>
    <t>Applications with Risk Mitigation (Total)</t>
  </si>
  <si>
    <t>6a</t>
  </si>
  <si>
    <t>Risk Mitigation - ID Verification</t>
  </si>
  <si>
    <t>6b</t>
  </si>
  <si>
    <t>Risk Mitigation - Address Verification</t>
  </si>
  <si>
    <t>6c</t>
  </si>
  <si>
    <t>Risk Mitigation - SSN Verification</t>
  </si>
  <si>
    <t>6d</t>
  </si>
  <si>
    <t>Risk Mitigation - Fraud Detection</t>
  </si>
  <si>
    <t>6e</t>
  </si>
  <si>
    <t>Risk Mitigation - Other</t>
  </si>
  <si>
    <t>7.0</t>
  </si>
  <si>
    <t>Rejected &amp; Risk Mitigated Applications</t>
  </si>
  <si>
    <t>► Section Total — Risk Mitigation Apps (#)</t>
  </si>
  <si>
    <t>Activations by Type</t>
  </si>
  <si>
    <t>8a</t>
  </si>
  <si>
    <t>Activations - Prime</t>
  </si>
  <si>
    <t>8b</t>
  </si>
  <si>
    <t>Activations - Subprime</t>
  </si>
  <si>
    <t>8c</t>
  </si>
  <si>
    <t>Activations - No Hit</t>
  </si>
  <si>
    <t>8d</t>
  </si>
  <si>
    <t>Activations - Unscored</t>
  </si>
  <si>
    <t>8.0</t>
  </si>
  <si>
    <t>► otal activations (auto-calculated)</t>
  </si>
  <si>
    <t>► Section Total — Activations by Type (#)</t>
  </si>
  <si>
    <t>Activations by Sales Channel</t>
  </si>
  <si>
    <t>9a</t>
  </si>
  <si>
    <t>Activations - Retail Stores</t>
  </si>
  <si>
    <t>9b</t>
  </si>
  <si>
    <t>Activations - Direct Sales</t>
  </si>
  <si>
    <t>9c</t>
  </si>
  <si>
    <t>Activations - Call Centers</t>
  </si>
  <si>
    <t>9d</t>
  </si>
  <si>
    <t>Activations - Company Websites</t>
  </si>
  <si>
    <t>9e</t>
  </si>
  <si>
    <t>Activations - Other Direct</t>
  </si>
  <si>
    <t>9.1</t>
  </si>
  <si>
    <t>► ctivations direct total (auto-calculated)</t>
  </si>
  <si>
    <t>9.2</t>
  </si>
  <si>
    <t>Activations - Indirect</t>
  </si>
  <si>
    <t>9.3</t>
  </si>
  <si>
    <t>Activations - Unknown</t>
  </si>
  <si>
    <t>9.0</t>
  </si>
  <si>
    <t>► otal activations by channel (auto-calculated)</t>
  </si>
  <si>
    <t>► Section Total — Activations by Channel (#)</t>
  </si>
  <si>
    <t>Risk Mitigation - Activations</t>
  </si>
  <si>
    <t>10.0</t>
  </si>
  <si>
    <t>Activations with Risk Mitigation (Total)</t>
  </si>
  <si>
    <t>10a</t>
  </si>
  <si>
    <t>Activation RM - ID Verification</t>
  </si>
  <si>
    <t>10b</t>
  </si>
  <si>
    <t>Activation RM - Address Verification</t>
  </si>
  <si>
    <t>10c</t>
  </si>
  <si>
    <t>Activation RM - SSN Verification</t>
  </si>
  <si>
    <t>10d</t>
  </si>
  <si>
    <t>Activation RM - Fraud Detection</t>
  </si>
  <si>
    <t>10e</t>
  </si>
  <si>
    <t>Activation RM - Other</t>
  </si>
  <si>
    <t>► Section Total — Risk Mitigation Activations (#)</t>
  </si>
  <si>
    <t>Security Deposits</t>
  </si>
  <si>
    <t>11a</t>
  </si>
  <si>
    <t>Security Deposit - Retail Stores</t>
  </si>
  <si>
    <t>11b</t>
  </si>
  <si>
    <t>Security Deposit - Direct Sales</t>
  </si>
  <si>
    <t>11c</t>
  </si>
  <si>
    <t>Security Deposit - Call Centers</t>
  </si>
  <si>
    <t>11d</t>
  </si>
  <si>
    <t>Security Deposit - Company Websites</t>
  </si>
  <si>
    <t>11e</t>
  </si>
  <si>
    <t>Security Deposit - Other Direct</t>
  </si>
  <si>
    <t>11.1</t>
  </si>
  <si>
    <t>► ecurity deposit direct total (auto-calculated)</t>
  </si>
  <si>
    <t>11.2</t>
  </si>
  <si>
    <t>Security Deposit - Indirect</t>
  </si>
  <si>
    <t>11.3</t>
  </si>
  <si>
    <t>Security Deposit - Unknown</t>
  </si>
  <si>
    <t>► Section Total — Security Deposits (#)</t>
  </si>
  <si>
    <t>Active Accounts by Credit Class</t>
  </si>
  <si>
    <t>12.1</t>
  </si>
  <si>
    <t>Prime Active Accounts</t>
  </si>
  <si>
    <t>12.2</t>
  </si>
  <si>
    <t>Subprime Active Accounts</t>
  </si>
  <si>
    <t>12.3</t>
  </si>
  <si>
    <t>Unscored Active - Customer Initiated</t>
  </si>
  <si>
    <t>12.4</t>
  </si>
  <si>
    <t>Unscored Active - Company Decision</t>
  </si>
  <si>
    <t>12.0</t>
  </si>
  <si>
    <t>► otal active accounts (auto-calculated)</t>
  </si>
  <si>
    <t>► Section Total — Active Accts by Credit Class (#)</t>
  </si>
  <si>
    <t>Active Accounts by Channel</t>
  </si>
  <si>
    <t>13a</t>
  </si>
  <si>
    <t>Active - Retail Stores</t>
  </si>
  <si>
    <t>13b</t>
  </si>
  <si>
    <t>Active - Direct Sales</t>
  </si>
  <si>
    <t>13c</t>
  </si>
  <si>
    <t>Active - Call Centers</t>
  </si>
  <si>
    <t>13d</t>
  </si>
  <si>
    <t>Active - Company Websites</t>
  </si>
  <si>
    <t>13e</t>
  </si>
  <si>
    <t>Active - Other Direct</t>
  </si>
  <si>
    <t>13.1</t>
  </si>
  <si>
    <t>► ctive direct total (auto-calculated)</t>
  </si>
  <si>
    <t>13.2</t>
  </si>
  <si>
    <t>Active - Indirect</t>
  </si>
  <si>
    <t>13.3</t>
  </si>
  <si>
    <t>Active - Unknown</t>
  </si>
  <si>
    <t>13.0</t>
  </si>
  <si>
    <t>► otal active accounts by channel (auto-calculated)</t>
  </si>
  <si>
    <t>► Section Total — Active Accts by Channel (#)</t>
  </si>
  <si>
    <t>Survival &amp; Disconnections</t>
  </si>
  <si>
    <t>14.0</t>
  </si>
  <si>
    <t>Activations from 6 Months Prior</t>
  </si>
  <si>
    <t>15.0</t>
  </si>
  <si>
    <t>Of Those, Still Active Today</t>
  </si>
  <si>
    <t>16a</t>
  </si>
  <si>
    <t>Involuntary Disconnections</t>
  </si>
  <si>
    <t>16b</t>
  </si>
  <si>
    <t>Voluntary Disconnections</t>
  </si>
  <si>
    <t>17.0</t>
  </si>
  <si>
    <t>Soft Disconnections</t>
  </si>
  <si>
    <t>► Section Total — Survival &amp; Disconnections (#)</t>
  </si>
  <si>
    <t>Revenue &amp; Credit Costs</t>
  </si>
  <si>
    <t>18.0</t>
  </si>
  <si>
    <t>Revenue at Risk</t>
  </si>
  <si>
    <t>$</t>
  </si>
  <si>
    <t>19.0</t>
  </si>
  <si>
    <t>Credit Costs</t>
  </si>
  <si>
    <t>► Section Total — Credit Costs ($)</t>
  </si>
  <si>
    <t>► Annual Total — Applications by Type (#)</t>
  </si>
  <si>
    <t>► Annual Total — Applications by Channel (#)</t>
  </si>
  <si>
    <t>► Annual Total — No Hits (#)</t>
  </si>
  <si>
    <t>► Annual Total — Manual Reviews (#)</t>
  </si>
  <si>
    <t>► Annual Total — Risk Mitigation Apps (#)</t>
  </si>
  <si>
    <t>► Annual Total — Activations by Type (#)</t>
  </si>
  <si>
    <t>► Annual Total — Activations by Channel (#)</t>
  </si>
  <si>
    <t>► Annual Total — Risk Mitigation Activations (#)</t>
  </si>
  <si>
    <t>► Annual Total — Security Deposits (#)</t>
  </si>
  <si>
    <t>► Annual Total — Active Accounts by Credit Class (#)</t>
  </si>
  <si>
    <t>► Annual Total — Active Accounts by Channel (#)</t>
  </si>
  <si>
    <t>► Annual Total — Survival &amp; Disconnections (#)</t>
  </si>
  <si>
    <t>► Annual Total — Revenue at Risk ($)</t>
  </si>
  <si>
    <t>► Annual Total — Credit Costs ($)</t>
  </si>
  <si>
    <t>TRMA Rapid Survey — Phase B: Decision</t>
  </si>
  <si>
    <t>Never/Non Pay</t>
  </si>
  <si>
    <t>20a</t>
  </si>
  <si>
    <t>Never Pay Accounts</t>
  </si>
  <si>
    <t>20b</t>
  </si>
  <si>
    <t>Non Pay Accounts</t>
  </si>
  <si>
    <t>Fraud</t>
  </si>
  <si>
    <t>21.0</t>
  </si>
  <si>
    <t>Fraud Accounts Detected</t>
  </si>
  <si>
    <t>22.0</t>
  </si>
  <si>
    <t>► Section Total — Fraud</t>
  </si>
  <si>
    <t>Existing Base</t>
  </si>
  <si>
    <t>23.0</t>
  </si>
  <si>
    <t>Total Existing Base Accounts</t>
  </si>
  <si>
    <t>24.0</t>
  </si>
  <si>
    <t>Existing Base Accounts Reviewed</t>
  </si>
  <si>
    <t>25.0</t>
  </si>
  <si>
    <t>Existing Base Actions Taken</t>
  </si>
  <si>
    <t>► Section Total — Existing Base</t>
  </si>
  <si>
    <t>► Annual Total — Never/Non Pay (#)</t>
  </si>
  <si>
    <t>► Annual Total — Fraud Accounts (#)</t>
  </si>
  <si>
    <t>► Annual Total — Fraud Losses ($)</t>
  </si>
  <si>
    <t>► Annual Total — Existing Base (#)</t>
  </si>
  <si>
    <t>TRMA Rapid Survey — Phase C: Payments</t>
  </si>
  <si>
    <t>Billing Method</t>
  </si>
  <si>
    <t>30a</t>
  </si>
  <si>
    <t>Billing - Electronic Only</t>
  </si>
  <si>
    <t>30b</t>
  </si>
  <si>
    <t>Billing - Paper Only</t>
  </si>
  <si>
    <t>30c</t>
  </si>
  <si>
    <t>Billing - Both Electronic &amp; Paper</t>
  </si>
  <si>
    <t>30d</t>
  </si>
  <si>
    <t>Billing - No Notification</t>
  </si>
  <si>
    <t>30e</t>
  </si>
  <si>
    <t>Billing - Other / Unknown</t>
  </si>
  <si>
    <t>30.0</t>
  </si>
  <si>
    <t>► otal accounts by billing method (auto-calculated)</t>
  </si>
  <si>
    <t>Payments by Channel</t>
  </si>
  <si>
    <t>31a</t>
  </si>
  <si>
    <t>Payments - Lockbox</t>
  </si>
  <si>
    <t>31b</t>
  </si>
  <si>
    <t>Payments - Phone VRU/IVR</t>
  </si>
  <si>
    <t>31c</t>
  </si>
  <si>
    <t>Payments - Phone Agent</t>
  </si>
  <si>
    <t>31d</t>
  </si>
  <si>
    <t>Payments - Autopay</t>
  </si>
  <si>
    <t>31e</t>
  </si>
  <si>
    <t>Payments - Retail Store</t>
  </si>
  <si>
    <t>31f</t>
  </si>
  <si>
    <t>Payments - Carrier Website</t>
  </si>
  <si>
    <t>31g</t>
  </si>
  <si>
    <t>Payments - Mobile App</t>
  </si>
  <si>
    <t>31h</t>
  </si>
  <si>
    <t>Payments - Bank Portal</t>
  </si>
  <si>
    <t>31i</t>
  </si>
  <si>
    <t>Payments - Third Party</t>
  </si>
  <si>
    <t>31k</t>
  </si>
  <si>
    <t>Payments - Other</t>
  </si>
  <si>
    <t>31.0</t>
  </si>
  <si>
    <t>► Section Total — Payments by Channel (#)</t>
  </si>
  <si>
    <t>Payments by Method</t>
  </si>
  <si>
    <t>33a</t>
  </si>
  <si>
    <t>EFT/ACH - Recurring</t>
  </si>
  <si>
    <t>33b</t>
  </si>
  <si>
    <t>EFT/ACH - One-Time</t>
  </si>
  <si>
    <t>33c</t>
  </si>
  <si>
    <t>Paper Check</t>
  </si>
  <si>
    <t>33d</t>
  </si>
  <si>
    <t>Debit Card - Recurring</t>
  </si>
  <si>
    <t>33e</t>
  </si>
  <si>
    <t>Debit Card - One-Time</t>
  </si>
  <si>
    <t>33f</t>
  </si>
  <si>
    <t>Credit Card - Recurring</t>
  </si>
  <si>
    <t>33g</t>
  </si>
  <si>
    <t>Credit Card - One-Time</t>
  </si>
  <si>
    <t>33.1</t>
  </si>
  <si>
    <t>► ebit/credit total (auto-calculated)</t>
  </si>
  <si>
    <t>33i</t>
  </si>
  <si>
    <t>Cash</t>
  </si>
  <si>
    <t>33j</t>
  </si>
  <si>
    <t>33.0</t>
  </si>
  <si>
    <t>► otal payments by method (auto-calculated)</t>
  </si>
  <si>
    <t>► Section Total — Payments by Method (#)</t>
  </si>
  <si>
    <t>Payment Reversals</t>
  </si>
  <si>
    <t>36a</t>
  </si>
  <si>
    <t>EFT/ACH Reversals</t>
  </si>
  <si>
    <t>36b</t>
  </si>
  <si>
    <t>Paper Check Reversals</t>
  </si>
  <si>
    <t>36c</t>
  </si>
  <si>
    <t>Debit Card Reversals</t>
  </si>
  <si>
    <t>36d</t>
  </si>
  <si>
    <t>Credit Card Reversals</t>
  </si>
  <si>
    <t>► Section Total — Payment Reversals (#)</t>
  </si>
  <si>
    <t>► Annual Total — Billing Method (#)</t>
  </si>
  <si>
    <t>► Annual Total — Payments by Channel (#)</t>
  </si>
  <si>
    <t>► Annual Total — Payments by Method (#)</t>
  </si>
  <si>
    <t>► Annual Total — Payment Reversals (#)</t>
  </si>
  <si>
    <t>TRMA Rapid Survey — Phase D: Accounts Receivable</t>
  </si>
  <si>
    <t>AR Revenue</t>
  </si>
  <si>
    <t>40</t>
  </si>
  <si>
    <t>Total Revenue Billed</t>
  </si>
  <si>
    <t>40.1</t>
  </si>
  <si>
    <t>Average Monthly Revenue</t>
  </si>
  <si>
    <t>41.0</t>
  </si>
  <si>
    <t>Total Recoveries</t>
  </si>
  <si>
    <t>42</t>
  </si>
  <si>
    <t>Total Write-Off Dollars</t>
  </si>
  <si>
    <t>46</t>
  </si>
  <si>
    <t>Number of Days in Period</t>
  </si>
  <si>
    <t>Days</t>
  </si>
  <si>
    <t>AR Portfolio - Dollar Value</t>
  </si>
  <si>
    <t>43a</t>
  </si>
  <si>
    <t>AR $ Current</t>
  </si>
  <si>
    <t>43b</t>
  </si>
  <si>
    <t>AR $ 1-30 DPD</t>
  </si>
  <si>
    <t>43c</t>
  </si>
  <si>
    <t>AR $ 31-60 DPD</t>
  </si>
  <si>
    <t>43d</t>
  </si>
  <si>
    <t>AR $ 61-90 DPD</t>
  </si>
  <si>
    <t>43e</t>
  </si>
  <si>
    <t>AR $ 91+ DPD</t>
  </si>
  <si>
    <t>43</t>
  </si>
  <si>
    <t>► Section Total — AR Portfolio $ ($)</t>
  </si>
  <si>
    <t>AR Portfolio - Account Count</t>
  </si>
  <si>
    <t>45a</t>
  </si>
  <si>
    <t>AR # Current</t>
  </si>
  <si>
    <t>45b</t>
  </si>
  <si>
    <t>AR # 1-30 DPD</t>
  </si>
  <si>
    <t>45c</t>
  </si>
  <si>
    <t>AR # 31-60 DPD</t>
  </si>
  <si>
    <t>45d</t>
  </si>
  <si>
    <t>AR # 61-90 DPD</t>
  </si>
  <si>
    <t>45e</t>
  </si>
  <si>
    <t>45</t>
  </si>
  <si>
    <t>► otal ar account COUNT(auto-calculated)</t>
  </si>
  <si>
    <t>► Section Total — AR Portfolio # (#)</t>
  </si>
  <si>
    <t>Promises</t>
  </si>
  <si>
    <t>47</t>
  </si>
  <si>
    <t>Promises Made</t>
  </si>
  <si>
    <t>48</t>
  </si>
  <si>
    <t>Promises Kept</t>
  </si>
  <si>
    <t>► Section Total — Promises (#)</t>
  </si>
  <si>
    <t>► Annual Total — Revenue Billed ($)</t>
  </si>
  <si>
    <t>► Annual Total — Total Recoveries ($)</t>
  </si>
  <si>
    <t>► Annual Total — Write-Off Dollars ($)</t>
  </si>
  <si>
    <t>► Annual Total — AR Portfolio $ Value ($)</t>
  </si>
  <si>
    <t>► Annual Total — AR Portfolio # Accounts (#)</t>
  </si>
  <si>
    <t>► Annual Total — Promises Made (#)</t>
  </si>
  <si>
    <t>► Annual Total — Promises Kept (#)</t>
  </si>
  <si>
    <t>TRMA Rapid Survey — Phase E: Write-Off</t>
  </si>
  <si>
    <t>Write-Off $ by Type</t>
  </si>
  <si>
    <t>50a</t>
  </si>
  <si>
    <t>Write-Off $ Voluntary</t>
  </si>
  <si>
    <t>50b</t>
  </si>
  <si>
    <t>Write-Off $ Involuntary</t>
  </si>
  <si>
    <t>50c</t>
  </si>
  <si>
    <t>Write-Off $ Other/Unknown</t>
  </si>
  <si>
    <t>50</t>
  </si>
  <si>
    <t>► Section Total — Write-Off $ by Type ($)</t>
  </si>
  <si>
    <t>► Annual Total — Write-Off $ by Type</t>
  </si>
  <si>
    <t>Write-Off $ by Reason</t>
  </si>
  <si>
    <t>52a</t>
  </si>
  <si>
    <t>Write-Off $ Non Pay</t>
  </si>
  <si>
    <t>52b</t>
  </si>
  <si>
    <t>Write-Off $ Never Pay</t>
  </si>
  <si>
    <t>52c</t>
  </si>
  <si>
    <t>52</t>
  </si>
  <si>
    <t>► Section Total — Write-Off $ by Reason ($)</t>
  </si>
  <si>
    <t>► Annual Total — Write-Off $ by Reason</t>
  </si>
  <si>
    <t>Write-Off # by Type</t>
  </si>
  <si>
    <t>49a</t>
  </si>
  <si>
    <t>Write-Off # Voluntary</t>
  </si>
  <si>
    <t>49b</t>
  </si>
  <si>
    <t>Write-Off # Involuntary</t>
  </si>
  <si>
    <t>49c</t>
  </si>
  <si>
    <t>Write-Off # Other/Unknown</t>
  </si>
  <si>
    <t>49</t>
  </si>
  <si>
    <t>► otal write-off accounts (by type) (auto-calculated)</t>
  </si>
  <si>
    <t>► Section Total — Write-Off # by Type (#)</t>
  </si>
  <si>
    <t>► Annual Total — Write-Off # by Type</t>
  </si>
  <si>
    <t>Write-Off # by Reason</t>
  </si>
  <si>
    <t>51a</t>
  </si>
  <si>
    <t>Write-Off # Non Pay</t>
  </si>
  <si>
    <t>51b</t>
  </si>
  <si>
    <t>Write-Off # Never Pay</t>
  </si>
  <si>
    <t>51c</t>
  </si>
  <si>
    <t>51</t>
  </si>
  <si>
    <t>► Section Total — Write-Off # by Reason (#)</t>
  </si>
  <si>
    <t>► Annual Total — Write-Off # by Reason</t>
  </si>
  <si>
    <t>Write-Off Details</t>
  </si>
  <si>
    <t>53a</t>
  </si>
  <si>
    <t>Write-Off Balance $ Non Pay</t>
  </si>
  <si>
    <t>53b</t>
  </si>
  <si>
    <t>Write-Off Balance $ Never Pay</t>
  </si>
  <si>
    <t>53c</t>
  </si>
  <si>
    <t>Write-Off Balance $ Other/Unknown</t>
  </si>
  <si>
    <t>► Section Total — Write-Off Balance $ ($)</t>
  </si>
  <si>
    <t>53</t>
  </si>
  <si>
    <t>Write-Off Lag (Days)</t>
  </si>
  <si>
    <t>54</t>
  </si>
  <si>
    <t>Write-Offs with Unreturned Equipment</t>
  </si>
  <si>
    <t>► Annual Total — Write-Off Balance $</t>
  </si>
  <si>
    <t>TRMA Rapid Survey — Phase F: Recovery</t>
  </si>
  <si>
    <t>Placement Overview</t>
  </si>
  <si>
    <t>60.0</t>
  </si>
  <si>
    <t>Total Accounts Placed for Recovery</t>
  </si>
  <si>
    <t>61</t>
  </si>
  <si>
    <t>Minimum Balance Placed</t>
  </si>
  <si>
    <t>Account Tenure at Placement</t>
  </si>
  <si>
    <t>62a</t>
  </si>
  <si>
    <t>Tenure at Placement: 0-6 Months</t>
  </si>
  <si>
    <t>62b</t>
  </si>
  <si>
    <t>Tenure at Placement: 7-12 Months</t>
  </si>
  <si>
    <t>62c</t>
  </si>
  <si>
    <t>Tenure at Placement: 13-18 Months</t>
  </si>
  <si>
    <t>62d</t>
  </si>
  <si>
    <t>Tenure at Placement: 19-24 Months</t>
  </si>
  <si>
    <t>62e</t>
  </si>
  <si>
    <t>Tenure at Placement: 25+ Months</t>
  </si>
  <si>
    <t>62</t>
  </si>
  <si>
    <t>► Section Total — Account Tenure (#)</t>
  </si>
  <si>
    <t>Placement Timing</t>
  </si>
  <si>
    <t>64a</t>
  </si>
  <si>
    <t>64b</t>
  </si>
  <si>
    <t>Avg Days Past Disconnect at Placement</t>
  </si>
  <si>
    <t>1st Assignment</t>
  </si>
  <si>
    <t>65.1</t>
  </si>
  <si>
    <t>1st Assignment: # Accounts Placed</t>
  </si>
  <si>
    <t>65.2</t>
  </si>
  <si>
    <t>1st Assignment: $ Placed</t>
  </si>
  <si>
    <t>65.3</t>
  </si>
  <si>
    <t>1st Assignment: $ Recovered</t>
  </si>
  <si>
    <t>65.4</t>
  </si>
  <si>
    <t>► Section Total — 1st Assignment $ ($)</t>
  </si>
  <si>
    <t>65.5</t>
  </si>
  <si>
    <t>1st Assignment: Commission Rate</t>
  </si>
  <si>
    <t>%</t>
  </si>
  <si>
    <t>2nd Assignment</t>
  </si>
  <si>
    <t>66.1</t>
  </si>
  <si>
    <t>2nd Assignment: # Accounts Placed</t>
  </si>
  <si>
    <t>66.2</t>
  </si>
  <si>
    <t>2nd Assignment: $ Placed</t>
  </si>
  <si>
    <t>66.3</t>
  </si>
  <si>
    <t>66.4</t>
  </si>
  <si>
    <t>2nd Assignment: $ Returned to Client</t>
  </si>
  <si>
    <t>► Section Total — 2nd Assignment $ ($)</t>
  </si>
  <si>
    <t>66.5</t>
  </si>
  <si>
    <t>2nd Assignment: Commission Rate</t>
  </si>
  <si>
    <t>3rd Assignment</t>
  </si>
  <si>
    <t>67.1</t>
  </si>
  <si>
    <t>3rd Assignment: # Accounts Placed</t>
  </si>
  <si>
    <t>67.2</t>
  </si>
  <si>
    <t>67.3</t>
  </si>
  <si>
    <t>3rd Assignment: $ Recovered</t>
  </si>
  <si>
    <t>67.4</t>
  </si>
  <si>
    <t>3rd Assignment: $ Returned to Client</t>
  </si>
  <si>
    <t>► Section Total — 3rd Assignment $ ($)</t>
  </si>
  <si>
    <t>67.5</t>
  </si>
  <si>
    <t>3rd Assignment: Commission Rate</t>
  </si>
  <si>
    <t>Warehouse Assignment</t>
  </si>
  <si>
    <t>68.1</t>
  </si>
  <si>
    <t>Warehouse: # Accounts Placed</t>
  </si>
  <si>
    <t>68.2</t>
  </si>
  <si>
    <t>Warehouse: $ Placed</t>
  </si>
  <si>
    <t>68.3</t>
  </si>
  <si>
    <t>Warehouse: $ Recovered</t>
  </si>
  <si>
    <t>68.4</t>
  </si>
  <si>
    <t>Warehouse: $ Returned to Client</t>
  </si>
  <si>
    <t>► Section Total — Warehouse $ ($)</t>
  </si>
  <si>
    <t>68.5</t>
  </si>
  <si>
    <t>Warehouse: Commission Rate</t>
  </si>
  <si>
    <t>► Annual Total — Accounts Placed (#)</t>
  </si>
  <si>
    <t>► Annual Total — Account Tenure at Placement (#)</t>
  </si>
  <si>
    <t>► Annual Total — 1st Assignment Placed ($)</t>
  </si>
  <si>
    <t>► Annual Total — 1st Assignment Recovered ($)</t>
  </si>
  <si>
    <t>► Annual Total — 1st Assignment Returned ($)</t>
  </si>
  <si>
    <t>► Annual Total — 2nd Assignment Placed ($)</t>
  </si>
  <si>
    <t>► Annual Total — 2nd Assignment Recovered ($)</t>
  </si>
  <si>
    <t>► Annual Total — 2nd Assignment Returned ($)</t>
  </si>
  <si>
    <t>► Annual Total — 3rd Assignment Placed ($)</t>
  </si>
  <si>
    <t>► Annual Total — 3rd Assignment Recovered ($)</t>
  </si>
  <si>
    <t>► Annual Total — 3rd Assignment Returned ($)</t>
  </si>
  <si>
    <t>► Annual Total — Warehouse Placed ($)</t>
  </si>
  <si>
    <t>► Annual Total — Warehouse Recovered ($)</t>
  </si>
  <si>
    <t>► Annual Total — Warehouse Returned ($)</t>
  </si>
  <si>
    <t>► total write-off dollars (by type) (auto-calculated)</t>
  </si>
  <si>
    <t>► total write-off dollars (by reason) (auto-calculated)</t>
  </si>
  <si>
    <t>► total write-off accounts (by reason) (auto-calculated)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</si>
</sst>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#,##0.0"/>
    <numFmt numFmtId="166" formatCode="0.0%"/>
  </numFmts>
  <fonts count="20" x14ac:knownFonts="1">
    <font>
      <sz val="11"/>
      <color theme="1"/>
      <name val="Calibri"/>
      <family val="2"/>
      <charset val="1"/>
    </font>
    <font>
      <b/>
      <sz val="16"/>
      <color rgb="FF1B3A5C"/>
      <name val="Arial"/>
      <family val="2"/>
    </font>
    <font>
      <sz val="11"/>
      <name val="Arial"/>
      <family val="2"/>
    </font>
    <font>
      <b/>
      <sz val="12"/>
      <color rgb="FF1B3A5C"/>
      <name val="Arial"/>
      <family val="2"/>
    </font>
    <font>
      <i/>
      <sz val="11"/>
      <color rgb="FF666666"/>
      <name val="Arial"/>
      <family val="2"/>
    </font>
    <font>
      <b/>
      <sz val="11"/>
      <color rgb="FF1B3A5C"/>
      <name val="Cambria"/>
      <family val="1"/>
    </font>
    <font>
      <i/>
      <sz val="11"/>
      <color rgb="FF8B4000"/>
      <name val="Cambria"/>
      <family val="1"/>
    </font>
    <font>
      <b/>
      <sz val="14"/>
      <color rgb="FF1B3A5C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Cambria"/>
      <family val="1"/>
    </font>
    <font>
      <b/>
      <sz val="10"/>
      <color rgb="FF1B3A5C"/>
      <name val="Arial"/>
      <family val="2"/>
    </font>
    <font>
      <sz val="9"/>
      <color rgb="FF888888"/>
      <name val="Arial"/>
      <family val="2"/>
    </font>
    <font>
      <sz val="10"/>
      <color rgb="FF333333"/>
      <name val="Arial"/>
      <family val="2"/>
    </font>
    <font>
      <i/>
      <sz val="9"/>
      <color rgb="FF2176BC"/>
      <name val="Arial"/>
      <family val="2"/>
    </font>
    <font>
      <i/>
      <sz val="10"/>
      <color rgb="FF2176BC"/>
      <name val="Arial"/>
      <family val="2"/>
    </font>
    <font>
      <b/>
      <sz val="11"/>
      <color rgb="FF2176BC"/>
      <name val="Cambria"/>
      <family val="1"/>
    </font>
    <font>
      <b/>
      <i/>
      <sz val="11"/>
      <color rgb="FF2176BC"/>
      <name val="Cambria"/>
      <family val="1"/>
    </font>
    <font>
      <b/>
      <sz val="11"/>
      <color rgb="FFC9A227"/>
      <name val="Cambria"/>
      <family val="1"/>
    </font>
    <font>
      <i/>
      <sz val="11"/>
      <color rgb="FF2176BC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FFF3CD"/>
        <bgColor rgb="FFFFF0D0"/>
      </patternFill>
    </fill>
    <fill>
      <patternFill patternType="solid">
        <fgColor rgb="FF1B3A5C"/>
        <bgColor rgb="FF333333"/>
      </patternFill>
    </fill>
    <fill>
      <patternFill patternType="solid">
        <fgColor rgb="FFC9A227"/>
        <bgColor rgb="FF99CC00"/>
      </patternFill>
    </fill>
    <fill>
      <patternFill patternType="solid">
        <fgColor rgb="FFE8F0FE"/>
        <bgColor rgb="FFD6E4F0"/>
      </patternFill>
    </fill>
    <fill>
      <patternFill patternType="solid">
        <fgColor rgb="FFFFFFCC"/>
        <bgColor rgb="FFFFF3CD"/>
      </patternFill>
    </fill>
    <fill>
      <patternFill patternType="solid">
        <fgColor rgb="FFD6E4F0"/>
        <bgColor rgb="FFE8F0FE"/>
      </patternFill>
    </fill>
    <fill>
      <patternFill patternType="solid">
        <fgColor rgb="FFFFF0D0"/>
        <bgColor rgb="FFFFF3CD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8" fillId="8" borderId="0" xfId="0" applyFont="1" applyFill="1"/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6" fillId="7" borderId="0" xfId="0" applyFont="1" applyFill="1"/>
    <xf numFmtId="0" fontId="11" fillId="5" borderId="1" xfId="0" applyFont="1" applyFill="1" applyBorder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9" fillId="3" borderId="1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/>
    </xf>
    <xf numFmtId="0" fontId="11" fillId="5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 vertical="center" wrapText="1"/>
    </xf>
    <xf numFmtId="3" fontId="0" fillId="6" borderId="1" xfId="0" applyNumberFormat="1" applyFill="1" applyBorder="1" applyAlignment="1">
      <alignment horizontal="right"/>
    </xf>
    <xf numFmtId="0" fontId="14" fillId="0" borderId="1" xfId="0" applyFont="1" applyBorder="1" applyAlignment="1">
      <alignment horizontal="center"/>
    </xf>
    <xf numFmtId="0" fontId="15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right"/>
    </xf>
    <xf numFmtId="0" fontId="16" fillId="7" borderId="0" xfId="0" applyFont="1" applyFill="1"/>
    <xf numFmtId="0" fontId="5" fillId="8" borderId="0" xfId="0" applyFont="1" applyFill="1"/>
    <xf numFmtId="0" fontId="0" fillId="0" borderId="2" xfId="0" applyBorder="1"/>
    <xf numFmtId="0" fontId="0" fillId="0" borderId="3" xfId="0" applyBorder="1"/>
    <xf numFmtId="0" fontId="17" fillId="7" borderId="0" xfId="0" applyFont="1" applyFill="1"/>
    <xf numFmtId="164" fontId="0" fillId="6" borderId="1" xfId="0" applyNumberFormat="1" applyFill="1" applyBorder="1" applyAlignment="1">
      <alignment horizontal="right"/>
    </xf>
    <xf numFmtId="0" fontId="18" fillId="8" borderId="0" xfId="0" applyFont="1" applyFill="1"/>
    <xf numFmtId="165" fontId="0" fillId="6" borderId="1" xfId="0" applyNumberFormat="1" applyFill="1" applyBorder="1" applyAlignment="1">
      <alignment horizontal="right"/>
    </xf>
    <xf numFmtId="0" fontId="19" fillId="7" borderId="1" xfId="0" applyFont="1" applyFill="1" applyBorder="1" applyAlignment="1">
      <alignment horizontal="right"/>
    </xf>
    <xf numFmtId="0" fontId="5" fillId="5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center"/>
    </xf>
    <xf numFmtId="0" fontId="19" fillId="7" borderId="0" xfId="0" applyFont="1" applyFill="1"/>
    <xf numFmtId="166" fontId="0" fillId="6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E8F0FE"/>
      <rgbColor rgb="FF660066"/>
      <rgbColor rgb="FFFF8080"/>
      <rgbColor rgb="FF2176B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FF0D0"/>
      <rgbColor rgb="FFFFF3C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66"/>
      <rgbColor rgb="FF969696"/>
      <rgbColor rgb="FF1B3A5C"/>
      <rgbColor rgb="FF339966"/>
      <rgbColor rgb="FF003300"/>
      <rgbColor rgb="FF333300"/>
      <rgbColor rgb="FF8B40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A34"/>
  <sheetViews>
    <sheetView zoomScaleNormal="100" workbookViewId="0"/>
  </sheetViews>
  <sheetFormatPr defaultColWidth="8.7109375" defaultRowHeight="15" x14ac:dyDescent="0.25"/>
  <cols>
    <col min="1" max="1" width="80" customWidth="1"/>
  </cols>
  <sheetData>
    <row r="1" spans="1:1" ht="19.5" customHeight="1" x14ac:dyDescent="0.3">
      <c r="A1" s="8" t="s">
        <v>0</v>
      </c>
    </row>
    <row r="3" spans="1:1" ht="15" customHeight="1" x14ac:dyDescent="0.25">
      <c r="A3" s="9" t="s">
        <v>1</v>
      </c>
    </row>
    <row r="5" spans="1:1" ht="15" customHeight="1" x14ac:dyDescent="0.25">
      <c r="A5" s="10" t="s">
        <v>2</v>
      </c>
    </row>
    <row r="6" spans="1:1" ht="15" customHeight="1" x14ac:dyDescent="0.25">
      <c r="A6" s="9" t="s">
        <v>3</v>
      </c>
    </row>
    <row r="7" spans="1:1" ht="15" customHeight="1" x14ac:dyDescent="0.25">
      <c r="A7" s="9" t="s">
        <v>4</v>
      </c>
    </row>
    <row r="8" spans="1:1" ht="15" customHeight="1" x14ac:dyDescent="0.25">
      <c r="A8" s="9" t="s">
        <v>5</v>
      </c>
    </row>
    <row r="9" spans="1:1" ht="15" customHeight="1" x14ac:dyDescent="0.25">
      <c r="A9" s="9" t="s">
        <v>6</v>
      </c>
    </row>
    <row r="10" spans="1:1" ht="15" customHeight="1" x14ac:dyDescent="0.25">
      <c r="A10" s="9" t="s">
        <v>7</v>
      </c>
    </row>
    <row r="11" spans="1:1" ht="15" customHeight="1" x14ac:dyDescent="0.25">
      <c r="A11" s="9" t="s">
        <v>8</v>
      </c>
    </row>
    <row r="13" spans="1:1" ht="15" customHeight="1" x14ac:dyDescent="0.25">
      <c r="A13" s="10" t="s">
        <v>9</v>
      </c>
    </row>
    <row r="14" spans="1:1" ht="15" customHeight="1" x14ac:dyDescent="0.25">
      <c r="A14" s="9" t="s">
        <v>10</v>
      </c>
    </row>
    <row r="15" spans="1:1" ht="15" customHeight="1" x14ac:dyDescent="0.25">
      <c r="A15" s="9" t="s">
        <v>11</v>
      </c>
    </row>
    <row r="16" spans="1:1" ht="15" customHeight="1" x14ac:dyDescent="0.25">
      <c r="A16" s="9" t="s">
        <v>12</v>
      </c>
    </row>
    <row r="17" spans="1:1" ht="15" customHeight="1" x14ac:dyDescent="0.25">
      <c r="A17" s="9" t="s">
        <v>13</v>
      </c>
    </row>
    <row r="19" spans="1:1" ht="15" customHeight="1" x14ac:dyDescent="0.25">
      <c r="A19" s="10" t="s">
        <v>14</v>
      </c>
    </row>
    <row r="20" spans="1:1" ht="15" customHeight="1" x14ac:dyDescent="0.25">
      <c r="A20" s="9" t="s">
        <v>15</v>
      </c>
    </row>
    <row r="21" spans="1:1" ht="15" customHeight="1" x14ac:dyDescent="0.25">
      <c r="A21" s="9" t="s">
        <v>16</v>
      </c>
    </row>
    <row r="22" spans="1:1" ht="15" customHeight="1" x14ac:dyDescent="0.25">
      <c r="A22" s="9" t="s">
        <v>17</v>
      </c>
    </row>
    <row r="23" spans="1:1" ht="15" customHeight="1" x14ac:dyDescent="0.25">
      <c r="A23" s="9" t="s">
        <v>18</v>
      </c>
    </row>
    <row r="24" spans="1:1" ht="15" customHeight="1" x14ac:dyDescent="0.25">
      <c r="A24" s="9" t="s">
        <v>19</v>
      </c>
    </row>
    <row r="25" spans="1:1" ht="15" customHeight="1" x14ac:dyDescent="0.25">
      <c r="A25" s="9" t="s">
        <v>20</v>
      </c>
    </row>
    <row r="27" spans="1:1" ht="15" customHeight="1" x14ac:dyDescent="0.25">
      <c r="A27" s="10" t="s">
        <v>21</v>
      </c>
    </row>
    <row r="28" spans="1:1" ht="15" customHeight="1" x14ac:dyDescent="0.25">
      <c r="A28" s="9" t="s">
        <v>22</v>
      </c>
    </row>
    <row r="29" spans="1:1" ht="15" customHeight="1" x14ac:dyDescent="0.25">
      <c r="A29" s="9" t="s">
        <v>23</v>
      </c>
    </row>
    <row r="31" spans="1:1" ht="15" customHeight="1" x14ac:dyDescent="0.25">
      <c r="A31" s="11" t="s">
        <v>24</v>
      </c>
    </row>
    <row r="33" spans="1:1" ht="15" customHeight="1" x14ac:dyDescent="0.25">
      <c r="A33" s="12" t="s">
        <v>25</v>
      </c>
    </row>
    <row r="34" spans="1:1" ht="15" customHeight="1" x14ac:dyDescent="0.25">
      <c r="A34" s="13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22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7109375" defaultRowHeight="15" x14ac:dyDescent="0.25"/>
  <cols>
    <col min="1" max="1" width="8" customWidth="1"/>
    <col min="2" max="2" width="45" customWidth="1"/>
    <col min="3" max="3" width="10" customWidth="1"/>
    <col min="4" max="15" width="14" customWidth="1"/>
    <col min="16" max="16" width="16" customWidth="1"/>
  </cols>
  <sheetData>
    <row r="1" spans="1:16" ht="30" customHeight="1" x14ac:dyDescent="0.25">
      <c r="A1" s="7" t="s">
        <v>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6" ht="19.5" customHeight="1" x14ac:dyDescent="0.25">
      <c r="A2" s="6" t="s">
        <v>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spans="1:16" ht="24.75" customHeight="1" x14ac:dyDescent="0.25">
      <c r="A4" s="14" t="s">
        <v>29</v>
      </c>
      <c r="B4" s="14" t="s">
        <v>30</v>
      </c>
      <c r="C4" s="14" t="s">
        <v>31</v>
      </c>
      <c r="D4" s="14" t="s">
        <v>32</v>
      </c>
      <c r="E4" s="14" t="s">
        <v>33</v>
      </c>
      <c r="F4" s="14" t="s">
        <v>34</v>
      </c>
      <c r="G4" s="14" t="s">
        <v>35</v>
      </c>
      <c r="H4" s="14" t="s">
        <v>36</v>
      </c>
      <c r="I4" s="14" t="s">
        <v>37</v>
      </c>
      <c r="J4" s="14" t="s">
        <v>38</v>
      </c>
      <c r="K4" s="14" t="s">
        <v>39</v>
      </c>
      <c r="L4" s="14" t="s">
        <v>40</v>
      </c>
      <c r="M4" s="14" t="s">
        <v>41</v>
      </c>
      <c r="N4" s="14" t="s">
        <v>42</v>
      </c>
      <c r="O4" s="14" t="s">
        <v>43</v>
      </c>
      <c r="P4" s="15" t="s">
        <v>44</v>
      </c>
    </row>
    <row r="5" spans="1:16" ht="21.75" customHeight="1" x14ac:dyDescent="0.25">
      <c r="A5" s="5" t="s">
        <v>45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6" ht="19.5" customHeight="1" x14ac:dyDescent="0.25">
      <c r="A6" s="17" t="s">
        <v>46</v>
      </c>
      <c r="B6" s="18" t="s">
        <v>47</v>
      </c>
      <c r="C6" s="17" t="s">
        <v>48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  <row r="7" spans="1:16" ht="19.5" customHeight="1" x14ac:dyDescent="0.25">
      <c r="A7" s="17" t="s">
        <v>49</v>
      </c>
      <c r="B7" s="18" t="s">
        <v>50</v>
      </c>
      <c r="C7" s="17" t="s">
        <v>48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6" ht="19.5" customHeight="1" x14ac:dyDescent="0.25">
      <c r="A8" s="17" t="s">
        <v>51</v>
      </c>
      <c r="B8" s="18" t="s">
        <v>52</v>
      </c>
      <c r="C8" s="17" t="s">
        <v>48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6" ht="19.5" customHeight="1" x14ac:dyDescent="0.25">
      <c r="A9" s="17" t="s">
        <v>53</v>
      </c>
      <c r="B9" s="18" t="s">
        <v>54</v>
      </c>
      <c r="C9" s="17" t="s">
        <v>48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6" ht="19.5" customHeight="1" x14ac:dyDescent="0.25">
      <c r="A10" s="20" t="s">
        <v>55</v>
      </c>
      <c r="B10" s="21" t="s">
        <v>56</v>
      </c>
      <c r="C10" s="17" t="s">
        <v>48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</row>
    <row r="11" spans="1:16" ht="21.75" customHeight="1" x14ac:dyDescent="0.25">
      <c r="A11" s="4" t="s">
        <v>57</v>
      </c>
      <c r="B11" s="4" t="s">
        <v>58</v>
      </c>
      <c r="C11" s="4" t="s">
        <v>48</v>
      </c>
      <c r="D11" s="4">
        <f t="shared" ref="D11:O11" si="0">SUM(D6,D7,D8,D9)</f>
        <v>0</v>
      </c>
      <c r="E11" s="4">
        <f t="shared" si="0"/>
        <v>0</v>
      </c>
      <c r="F11" s="4">
        <f t="shared" si="0"/>
        <v>0</v>
      </c>
      <c r="G11" s="4">
        <f t="shared" si="0"/>
        <v>0</v>
      </c>
      <c r="H11" s="4">
        <f t="shared" si="0"/>
        <v>0</v>
      </c>
      <c r="I11" s="4">
        <f t="shared" si="0"/>
        <v>0</v>
      </c>
      <c r="J11" s="4">
        <f t="shared" si="0"/>
        <v>0</v>
      </c>
      <c r="K11" s="4">
        <f t="shared" si="0"/>
        <v>0</v>
      </c>
      <c r="L11" s="4">
        <f t="shared" si="0"/>
        <v>0</v>
      </c>
      <c r="M11" s="4">
        <f t="shared" si="0"/>
        <v>0</v>
      </c>
      <c r="N11" s="4">
        <f t="shared" si="0"/>
        <v>0</v>
      </c>
      <c r="O11" s="4">
        <f t="shared" si="0"/>
        <v>0</v>
      </c>
      <c r="P11" s="24">
        <f>D11+E11+F11+G11+H11+I11+J11+K11+L11+M11+N11+O11</f>
        <v>0</v>
      </c>
    </row>
    <row r="12" spans="1:16" ht="19.5" customHeight="1" x14ac:dyDescent="0.25">
      <c r="A12" s="16" t="s">
        <v>59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6"/>
    </row>
    <row r="13" spans="1:16" ht="19.5" customHeight="1" x14ac:dyDescent="0.25">
      <c r="A13" s="17" t="s">
        <v>60</v>
      </c>
      <c r="B13" s="18" t="s">
        <v>61</v>
      </c>
      <c r="C13" s="17" t="s">
        <v>48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</row>
    <row r="14" spans="1:16" ht="19.5" customHeight="1" x14ac:dyDescent="0.25">
      <c r="A14" s="17" t="s">
        <v>62</v>
      </c>
      <c r="B14" s="18" t="s">
        <v>63</v>
      </c>
      <c r="C14" s="17" t="s">
        <v>48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</row>
    <row r="15" spans="1:16" ht="19.5" customHeight="1" x14ac:dyDescent="0.25">
      <c r="A15" s="17" t="s">
        <v>64</v>
      </c>
      <c r="B15" s="18" t="s">
        <v>65</v>
      </c>
      <c r="C15" s="17" t="s">
        <v>48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</row>
    <row r="16" spans="1:16" ht="19.5" customHeight="1" x14ac:dyDescent="0.25">
      <c r="A16" s="17" t="s">
        <v>66</v>
      </c>
      <c r="B16" s="18" t="s">
        <v>67</v>
      </c>
      <c r="C16" s="17" t="s">
        <v>48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6" ht="19.5" customHeight="1" x14ac:dyDescent="0.25">
      <c r="A17" s="17" t="s">
        <v>68</v>
      </c>
      <c r="B17" s="18" t="s">
        <v>69</v>
      </c>
      <c r="C17" s="17" t="s">
        <v>48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</row>
    <row r="18" spans="1:16" ht="19.5" customHeight="1" x14ac:dyDescent="0.25">
      <c r="A18" s="20" t="s">
        <v>70</v>
      </c>
      <c r="B18" s="21" t="s">
        <v>71</v>
      </c>
      <c r="C18" s="17" t="s">
        <v>48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1:16" ht="19.5" customHeight="1" x14ac:dyDescent="0.25">
      <c r="A19" s="17" t="s">
        <v>72</v>
      </c>
      <c r="B19" s="18" t="s">
        <v>73</v>
      </c>
      <c r="C19" s="17" t="s">
        <v>48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6" ht="19.5" customHeight="1" x14ac:dyDescent="0.25">
      <c r="A20" s="17" t="s">
        <v>74</v>
      </c>
      <c r="B20" s="18" t="s">
        <v>75</v>
      </c>
      <c r="C20" s="17" t="s">
        <v>48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6" ht="21.75" customHeight="1" x14ac:dyDescent="0.25">
      <c r="A21" s="3" t="s">
        <v>76</v>
      </c>
      <c r="B21" s="3" t="s">
        <v>77</v>
      </c>
      <c r="C21" s="3" t="s">
        <v>48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6" ht="19.5" customHeight="1" x14ac:dyDescent="0.25">
      <c r="A22" s="23" t="s">
        <v>57</v>
      </c>
      <c r="B22" s="27" t="s">
        <v>78</v>
      </c>
      <c r="C22" s="27" t="s">
        <v>48</v>
      </c>
      <c r="D22" s="27">
        <f t="shared" ref="D22:O22" si="1">SUM(D12,D13,D14,D15,D16,D18,D19)</f>
        <v>0</v>
      </c>
      <c r="E22" s="27">
        <f t="shared" si="1"/>
        <v>0</v>
      </c>
      <c r="F22" s="27">
        <f t="shared" si="1"/>
        <v>0</v>
      </c>
      <c r="G22" s="27">
        <f t="shared" si="1"/>
        <v>0</v>
      </c>
      <c r="H22" s="27">
        <f t="shared" si="1"/>
        <v>0</v>
      </c>
      <c r="I22" s="27">
        <f t="shared" si="1"/>
        <v>0</v>
      </c>
      <c r="J22" s="27">
        <f t="shared" si="1"/>
        <v>0</v>
      </c>
      <c r="K22" s="27">
        <f t="shared" si="1"/>
        <v>0</v>
      </c>
      <c r="L22" s="27">
        <f t="shared" si="1"/>
        <v>0</v>
      </c>
      <c r="M22" s="27">
        <f t="shared" si="1"/>
        <v>0</v>
      </c>
      <c r="N22" s="27">
        <f t="shared" si="1"/>
        <v>0</v>
      </c>
      <c r="O22" s="27">
        <f t="shared" si="1"/>
        <v>0</v>
      </c>
      <c r="P22" s="24">
        <f>D21+E21+F21+G21+H21+I21+J21+K21+L21+M21+N21+O21</f>
        <v>0</v>
      </c>
    </row>
    <row r="23" spans="1:16" ht="19.5" customHeight="1" x14ac:dyDescent="0.25">
      <c r="A23" s="16" t="s">
        <v>79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6"/>
    </row>
    <row r="24" spans="1:16" ht="19.5" customHeight="1" x14ac:dyDescent="0.25">
      <c r="A24" s="17" t="s">
        <v>80</v>
      </c>
      <c r="B24" s="18" t="s">
        <v>81</v>
      </c>
      <c r="C24" s="17" t="s">
        <v>48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1:16" ht="21.75" customHeight="1" x14ac:dyDescent="0.25">
      <c r="A25" s="2" t="s">
        <v>82</v>
      </c>
      <c r="B25" s="2" t="s">
        <v>83</v>
      </c>
      <c r="C25" s="2" t="s">
        <v>48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6" ht="19.5" customHeight="1" x14ac:dyDescent="0.25">
      <c r="A26" s="17" t="s">
        <v>84</v>
      </c>
      <c r="B26" s="18" t="s">
        <v>85</v>
      </c>
      <c r="C26" s="17" t="s">
        <v>48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</row>
    <row r="27" spans="1:16" ht="19.5" customHeight="1" x14ac:dyDescent="0.25">
      <c r="A27" s="23" t="s">
        <v>57</v>
      </c>
      <c r="B27" s="27" t="s">
        <v>86</v>
      </c>
      <c r="C27" s="27" t="s">
        <v>48</v>
      </c>
      <c r="D27" s="27">
        <f t="shared" ref="D27:O27" si="2">SUM(D22,D23,D24)</f>
        <v>0</v>
      </c>
      <c r="E27" s="27">
        <f t="shared" si="2"/>
        <v>0</v>
      </c>
      <c r="F27" s="27">
        <f t="shared" si="2"/>
        <v>0</v>
      </c>
      <c r="G27" s="27">
        <f t="shared" si="2"/>
        <v>0</v>
      </c>
      <c r="H27" s="27">
        <f t="shared" si="2"/>
        <v>0</v>
      </c>
      <c r="I27" s="27">
        <f t="shared" si="2"/>
        <v>0</v>
      </c>
      <c r="J27" s="27">
        <f t="shared" si="2"/>
        <v>0</v>
      </c>
      <c r="K27" s="27">
        <f t="shared" si="2"/>
        <v>0</v>
      </c>
      <c r="L27" s="27">
        <f t="shared" si="2"/>
        <v>0</v>
      </c>
      <c r="M27" s="27">
        <f t="shared" si="2"/>
        <v>0</v>
      </c>
      <c r="N27" s="27">
        <f t="shared" si="2"/>
        <v>0</v>
      </c>
      <c r="O27" s="27">
        <f t="shared" si="2"/>
        <v>0</v>
      </c>
      <c r="P27" s="24">
        <f>D25+E25+F25+G25+H25+I25+J25+K25+L25+M25+N25+O25</f>
        <v>0</v>
      </c>
    </row>
    <row r="28" spans="1:16" ht="19.5" customHeight="1" x14ac:dyDescent="0.25">
      <c r="A28" s="16" t="s">
        <v>87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6"/>
    </row>
    <row r="29" spans="1:16" ht="19.5" customHeight="1" x14ac:dyDescent="0.25">
      <c r="A29" s="17" t="s">
        <v>88</v>
      </c>
      <c r="B29" s="18" t="s">
        <v>89</v>
      </c>
      <c r="C29" s="17" t="s">
        <v>48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spans="1:16" ht="19.5" customHeight="1" x14ac:dyDescent="0.25">
      <c r="A30" s="17" t="s">
        <v>90</v>
      </c>
      <c r="B30" s="18" t="s">
        <v>91</v>
      </c>
      <c r="C30" s="17" t="s">
        <v>48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1:16" ht="21.75" customHeight="1" x14ac:dyDescent="0.25">
      <c r="A31" s="2" t="s">
        <v>92</v>
      </c>
      <c r="B31" s="2" t="s">
        <v>93</v>
      </c>
      <c r="C31" s="2" t="s">
        <v>48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6" ht="19.5" customHeight="1" x14ac:dyDescent="0.25">
      <c r="A32" s="17" t="s">
        <v>94</v>
      </c>
      <c r="B32" s="18" t="s">
        <v>95</v>
      </c>
      <c r="C32" s="17" t="s">
        <v>48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1:16" ht="19.5" customHeight="1" x14ac:dyDescent="0.25">
      <c r="A33" s="17" t="s">
        <v>96</v>
      </c>
      <c r="B33" s="18" t="s">
        <v>97</v>
      </c>
      <c r="C33" s="17" t="s">
        <v>48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1:16" ht="19.5" customHeight="1" x14ac:dyDescent="0.25">
      <c r="A34" s="23" t="s">
        <v>57</v>
      </c>
      <c r="B34" s="27" t="s">
        <v>98</v>
      </c>
      <c r="C34" s="27" t="s">
        <v>48</v>
      </c>
      <c r="D34" s="27">
        <f t="shared" ref="D34:O34" si="3">SUM(D26,D27,D28,D29,D30)</f>
        <v>0</v>
      </c>
      <c r="E34" s="27">
        <f t="shared" si="3"/>
        <v>0</v>
      </c>
      <c r="F34" s="27">
        <f t="shared" si="3"/>
        <v>0</v>
      </c>
      <c r="G34" s="27">
        <f t="shared" si="3"/>
        <v>0</v>
      </c>
      <c r="H34" s="27">
        <f t="shared" si="3"/>
        <v>0</v>
      </c>
      <c r="I34" s="27">
        <f t="shared" si="3"/>
        <v>0</v>
      </c>
      <c r="J34" s="27">
        <f t="shared" si="3"/>
        <v>0</v>
      </c>
      <c r="K34" s="27">
        <f t="shared" si="3"/>
        <v>0</v>
      </c>
      <c r="L34" s="27">
        <f t="shared" si="3"/>
        <v>0</v>
      </c>
      <c r="M34" s="27">
        <f t="shared" si="3"/>
        <v>0</v>
      </c>
      <c r="N34" s="27">
        <f t="shared" si="3"/>
        <v>0</v>
      </c>
      <c r="O34" s="27">
        <f t="shared" si="3"/>
        <v>0</v>
      </c>
      <c r="P34" s="24">
        <f>D31+E31+F31+G31+H31+I31+J31+K31+L31+M31+N31+O31</f>
        <v>0</v>
      </c>
    </row>
    <row r="35" spans="1:16" ht="19.5" customHeight="1" x14ac:dyDescent="0.25">
      <c r="A35" s="16" t="s">
        <v>99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6"/>
    </row>
    <row r="36" spans="1:16" ht="19.5" customHeight="1" x14ac:dyDescent="0.25">
      <c r="A36" s="17" t="s">
        <v>100</v>
      </c>
      <c r="B36" s="18" t="s">
        <v>101</v>
      </c>
      <c r="C36" s="17" t="s">
        <v>48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1:16" ht="19.5" customHeight="1" x14ac:dyDescent="0.25">
      <c r="A37" s="17" t="s">
        <v>102</v>
      </c>
      <c r="B37" s="18" t="s">
        <v>103</v>
      </c>
      <c r="C37" s="17" t="s">
        <v>48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 spans="1:16" ht="19.5" customHeight="1" x14ac:dyDescent="0.25">
      <c r="A38" s="17" t="s">
        <v>104</v>
      </c>
      <c r="B38" s="18" t="s">
        <v>105</v>
      </c>
      <c r="C38" s="17" t="s">
        <v>48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1:16" ht="21.75" customHeight="1" x14ac:dyDescent="0.25">
      <c r="A39" s="2" t="s">
        <v>106</v>
      </c>
      <c r="B39" s="2" t="s">
        <v>107</v>
      </c>
      <c r="C39" s="2" t="s">
        <v>48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6" ht="19.5" customHeight="1" x14ac:dyDescent="0.25">
      <c r="A40" s="17" t="s">
        <v>108</v>
      </c>
      <c r="B40" s="18" t="s">
        <v>109</v>
      </c>
      <c r="C40" s="17" t="s">
        <v>48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spans="1:16" ht="19.5" customHeight="1" x14ac:dyDescent="0.25">
      <c r="A41" s="17" t="s">
        <v>110</v>
      </c>
      <c r="B41" s="18" t="s">
        <v>111</v>
      </c>
      <c r="C41" s="17" t="s">
        <v>48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</row>
    <row r="42" spans="1:16" ht="19.5" customHeight="1" x14ac:dyDescent="0.25">
      <c r="A42" s="17" t="s">
        <v>112</v>
      </c>
      <c r="B42" s="18" t="s">
        <v>113</v>
      </c>
      <c r="C42" s="17" t="s">
        <v>48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spans="1:16" ht="19.5" customHeight="1" x14ac:dyDescent="0.25">
      <c r="A43" s="23" t="s">
        <v>57</v>
      </c>
      <c r="B43" s="27" t="s">
        <v>114</v>
      </c>
      <c r="C43" s="27" t="s">
        <v>48</v>
      </c>
      <c r="D43" s="27">
        <f t="shared" ref="D43:O43" si="4">SUM(D32,D33,D34,D35,D36,D37,D38)</f>
        <v>0</v>
      </c>
      <c r="E43" s="27">
        <f t="shared" si="4"/>
        <v>0</v>
      </c>
      <c r="F43" s="27">
        <f t="shared" si="4"/>
        <v>0</v>
      </c>
      <c r="G43" s="27">
        <f t="shared" si="4"/>
        <v>0</v>
      </c>
      <c r="H43" s="27">
        <f t="shared" si="4"/>
        <v>0</v>
      </c>
      <c r="I43" s="27">
        <f t="shared" si="4"/>
        <v>0</v>
      </c>
      <c r="J43" s="27">
        <f t="shared" si="4"/>
        <v>0</v>
      </c>
      <c r="K43" s="27">
        <f t="shared" si="4"/>
        <v>0</v>
      </c>
      <c r="L43" s="27">
        <f t="shared" si="4"/>
        <v>0</v>
      </c>
      <c r="M43" s="27">
        <f t="shared" si="4"/>
        <v>0</v>
      </c>
      <c r="N43" s="27">
        <f t="shared" si="4"/>
        <v>0</v>
      </c>
      <c r="O43" s="27">
        <f t="shared" si="4"/>
        <v>0</v>
      </c>
      <c r="P43" s="24">
        <f>D39+E39+F39+G39+H39+I39+J39+K39+L39+M39+N39+O39</f>
        <v>0</v>
      </c>
    </row>
    <row r="44" spans="1:16" ht="19.5" customHeight="1" x14ac:dyDescent="0.25">
      <c r="A44" s="16" t="s">
        <v>115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6"/>
    </row>
    <row r="45" spans="1:16" ht="21.75" customHeight="1" x14ac:dyDescent="0.25">
      <c r="A45" s="2" t="s">
        <v>116</v>
      </c>
      <c r="B45" s="2" t="s">
        <v>117</v>
      </c>
      <c r="C45" s="2" t="s">
        <v>48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6" ht="19.5" customHeight="1" x14ac:dyDescent="0.25">
      <c r="A46" s="17" t="s">
        <v>118</v>
      </c>
      <c r="B46" s="18" t="s">
        <v>119</v>
      </c>
      <c r="C46" s="17" t="s">
        <v>48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</row>
    <row r="47" spans="1:16" ht="19.5" customHeight="1" x14ac:dyDescent="0.25">
      <c r="A47" s="17" t="s">
        <v>120</v>
      </c>
      <c r="B47" s="18" t="s">
        <v>121</v>
      </c>
      <c r="C47" s="17" t="s">
        <v>48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</row>
    <row r="48" spans="1:16" ht="19.5" customHeight="1" x14ac:dyDescent="0.25">
      <c r="A48" s="17" t="s">
        <v>122</v>
      </c>
      <c r="B48" s="18" t="s">
        <v>123</v>
      </c>
      <c r="C48" s="17" t="s">
        <v>48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spans="1:16" ht="19.5" customHeight="1" x14ac:dyDescent="0.25">
      <c r="A49" s="20" t="s">
        <v>124</v>
      </c>
      <c r="B49" s="21" t="s">
        <v>125</v>
      </c>
      <c r="C49" s="17" t="s">
        <v>48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</row>
    <row r="50" spans="1:16" ht="19.5" customHeight="1" x14ac:dyDescent="0.25">
      <c r="A50" s="23" t="s">
        <v>57</v>
      </c>
      <c r="B50" s="27" t="s">
        <v>126</v>
      </c>
      <c r="C50" s="27" t="s">
        <v>48</v>
      </c>
      <c r="D50" s="27">
        <f t="shared" ref="D50:O50" si="5">SUM(D40,D41,D42,D43)</f>
        <v>0</v>
      </c>
      <c r="E50" s="27">
        <f t="shared" si="5"/>
        <v>0</v>
      </c>
      <c r="F50" s="27">
        <f t="shared" si="5"/>
        <v>0</v>
      </c>
      <c r="G50" s="27">
        <f t="shared" si="5"/>
        <v>0</v>
      </c>
      <c r="H50" s="27">
        <f t="shared" si="5"/>
        <v>0</v>
      </c>
      <c r="I50" s="27">
        <f t="shared" si="5"/>
        <v>0</v>
      </c>
      <c r="J50" s="27">
        <f t="shared" si="5"/>
        <v>0</v>
      </c>
      <c r="K50" s="27">
        <f t="shared" si="5"/>
        <v>0</v>
      </c>
      <c r="L50" s="27">
        <f t="shared" si="5"/>
        <v>0</v>
      </c>
      <c r="M50" s="27">
        <f t="shared" si="5"/>
        <v>0</v>
      </c>
      <c r="N50" s="27">
        <f t="shared" si="5"/>
        <v>0</v>
      </c>
      <c r="O50" s="27">
        <f t="shared" si="5"/>
        <v>0</v>
      </c>
      <c r="P50" s="24">
        <f>D45+E45+F45+G45+H45+I45+J45+K45+L45+M45+N45+O45</f>
        <v>0</v>
      </c>
    </row>
    <row r="51" spans="1:16" ht="19.5" customHeight="1" x14ac:dyDescent="0.25">
      <c r="A51" s="16" t="s">
        <v>127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6"/>
    </row>
    <row r="52" spans="1:16" ht="19.5" customHeight="1" x14ac:dyDescent="0.25">
      <c r="A52" s="17" t="s">
        <v>128</v>
      </c>
      <c r="B52" s="18" t="s">
        <v>129</v>
      </c>
      <c r="C52" s="17" t="s">
        <v>48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</row>
    <row r="53" spans="1:16" ht="19.5" customHeight="1" x14ac:dyDescent="0.25">
      <c r="A53" s="17" t="s">
        <v>130</v>
      </c>
      <c r="B53" s="18" t="s">
        <v>131</v>
      </c>
      <c r="C53" s="17" t="s">
        <v>48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</row>
    <row r="54" spans="1:16" ht="19.5" customHeight="1" x14ac:dyDescent="0.25">
      <c r="A54" s="17" t="s">
        <v>132</v>
      </c>
      <c r="B54" s="18" t="s">
        <v>133</v>
      </c>
      <c r="C54" s="17" t="s">
        <v>48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6" ht="21.75" customHeight="1" x14ac:dyDescent="0.25">
      <c r="A55" s="2" t="s">
        <v>134</v>
      </c>
      <c r="B55" s="2" t="s">
        <v>135</v>
      </c>
      <c r="C55" s="2" t="s">
        <v>48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6" ht="19.5" customHeight="1" x14ac:dyDescent="0.25">
      <c r="A56" s="17" t="s">
        <v>136</v>
      </c>
      <c r="B56" s="18" t="s">
        <v>137</v>
      </c>
      <c r="C56" s="17" t="s">
        <v>48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</row>
    <row r="57" spans="1:16" ht="19.5" customHeight="1" x14ac:dyDescent="0.25">
      <c r="A57" s="20" t="s">
        <v>138</v>
      </c>
      <c r="B57" s="21" t="s">
        <v>139</v>
      </c>
      <c r="C57" s="17" t="s">
        <v>48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</row>
    <row r="58" spans="1:16" ht="19.5" customHeight="1" x14ac:dyDescent="0.25">
      <c r="A58" s="17" t="s">
        <v>140</v>
      </c>
      <c r="B58" s="18" t="s">
        <v>141</v>
      </c>
      <c r="C58" s="17" t="s">
        <v>48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</row>
    <row r="59" spans="1:16" ht="19.5" customHeight="1" x14ac:dyDescent="0.25">
      <c r="A59" s="17" t="s">
        <v>142</v>
      </c>
      <c r="B59" s="18" t="s">
        <v>143</v>
      </c>
      <c r="C59" s="17" t="s">
        <v>48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spans="1:16" ht="19.5" customHeight="1" x14ac:dyDescent="0.25">
      <c r="A60" s="20" t="s">
        <v>144</v>
      </c>
      <c r="B60" s="21" t="s">
        <v>145</v>
      </c>
      <c r="C60" s="17" t="s">
        <v>48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</row>
    <row r="61" spans="1:16" ht="19.5" customHeight="1" x14ac:dyDescent="0.25">
      <c r="A61" s="23" t="s">
        <v>57</v>
      </c>
      <c r="B61" s="27" t="s">
        <v>146</v>
      </c>
      <c r="C61" s="27" t="s">
        <v>48</v>
      </c>
      <c r="D61" s="27">
        <f t="shared" ref="D61:O61" si="6">SUM(D46,D47,D48,D49,D50,D52,D53)</f>
        <v>0</v>
      </c>
      <c r="E61" s="27">
        <f t="shared" si="6"/>
        <v>0</v>
      </c>
      <c r="F61" s="27">
        <f t="shared" si="6"/>
        <v>0</v>
      </c>
      <c r="G61" s="27">
        <f t="shared" si="6"/>
        <v>0</v>
      </c>
      <c r="H61" s="27">
        <f t="shared" si="6"/>
        <v>0</v>
      </c>
      <c r="I61" s="27">
        <f t="shared" si="6"/>
        <v>0</v>
      </c>
      <c r="J61" s="27">
        <f t="shared" si="6"/>
        <v>0</v>
      </c>
      <c r="K61" s="27">
        <f t="shared" si="6"/>
        <v>0</v>
      </c>
      <c r="L61" s="27">
        <f t="shared" si="6"/>
        <v>0</v>
      </c>
      <c r="M61" s="27">
        <f t="shared" si="6"/>
        <v>0</v>
      </c>
      <c r="N61" s="27">
        <f t="shared" si="6"/>
        <v>0</v>
      </c>
      <c r="O61" s="27">
        <f t="shared" si="6"/>
        <v>0</v>
      </c>
      <c r="P61" s="24">
        <f>D55+E55+F55+G55+H55+I55+J55+K55+L55+M55+N55+O55</f>
        <v>0</v>
      </c>
    </row>
    <row r="62" spans="1:16" ht="21.75" customHeight="1" x14ac:dyDescent="0.25">
      <c r="A62" s="5" t="s">
        <v>147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6" ht="19.5" customHeight="1" x14ac:dyDescent="0.25">
      <c r="A63" s="17" t="s">
        <v>148</v>
      </c>
      <c r="B63" s="18" t="s">
        <v>149</v>
      </c>
      <c r="C63" s="17" t="s">
        <v>48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spans="1:16" ht="19.5" customHeight="1" x14ac:dyDescent="0.25">
      <c r="A64" s="17" t="s">
        <v>150</v>
      </c>
      <c r="B64" s="18" t="s">
        <v>151</v>
      </c>
      <c r="C64" s="17" t="s">
        <v>48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1:16" ht="19.5" customHeight="1" x14ac:dyDescent="0.25">
      <c r="A65" s="17" t="s">
        <v>152</v>
      </c>
      <c r="B65" s="18" t="s">
        <v>153</v>
      </c>
      <c r="C65" s="17" t="s">
        <v>48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1:16" ht="19.5" customHeight="1" x14ac:dyDescent="0.25">
      <c r="A66" s="17" t="s">
        <v>154</v>
      </c>
      <c r="B66" s="18" t="s">
        <v>155</v>
      </c>
      <c r="C66" s="17" t="s">
        <v>48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1:16" ht="19.5" customHeight="1" x14ac:dyDescent="0.25">
      <c r="A67" s="17" t="s">
        <v>156</v>
      </c>
      <c r="B67" s="18" t="s">
        <v>157</v>
      </c>
      <c r="C67" s="17" t="s">
        <v>48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spans="1:16" ht="19.5" customHeight="1" x14ac:dyDescent="0.25">
      <c r="A68" s="17" t="s">
        <v>158</v>
      </c>
      <c r="B68" s="18" t="s">
        <v>159</v>
      </c>
      <c r="C68" s="17" t="s">
        <v>48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</row>
    <row r="69" spans="1:16" ht="19.5" customHeight="1" x14ac:dyDescent="0.25">
      <c r="A69" s="23" t="s">
        <v>57</v>
      </c>
      <c r="B69" s="27" t="s">
        <v>160</v>
      </c>
      <c r="C69" s="27" t="s">
        <v>48</v>
      </c>
      <c r="D69" s="27">
        <f t="shared" ref="D69:O69" si="7">SUM(D56,D57,D58,D59,D60,D61)</f>
        <v>0</v>
      </c>
      <c r="E69" s="27">
        <f t="shared" si="7"/>
        <v>0</v>
      </c>
      <c r="F69" s="27">
        <f t="shared" si="7"/>
        <v>0</v>
      </c>
      <c r="G69" s="27">
        <f t="shared" si="7"/>
        <v>0</v>
      </c>
      <c r="H69" s="27">
        <f t="shared" si="7"/>
        <v>0</v>
      </c>
      <c r="I69" s="27">
        <f t="shared" si="7"/>
        <v>0</v>
      </c>
      <c r="J69" s="27">
        <f t="shared" si="7"/>
        <v>0</v>
      </c>
      <c r="K69" s="27">
        <f t="shared" si="7"/>
        <v>0</v>
      </c>
      <c r="L69" s="27">
        <f t="shared" si="7"/>
        <v>0</v>
      </c>
      <c r="M69" s="27">
        <f t="shared" si="7"/>
        <v>0</v>
      </c>
      <c r="N69" s="27">
        <f t="shared" si="7"/>
        <v>0</v>
      </c>
      <c r="O69" s="27">
        <f t="shared" si="7"/>
        <v>0</v>
      </c>
      <c r="P69" s="24">
        <f>D62+E62+F62+G62+H62+I62+J62+K62+L62+M62+N62+O62</f>
        <v>0</v>
      </c>
    </row>
    <row r="70" spans="1:16" ht="19.5" customHeight="1" x14ac:dyDescent="0.25">
      <c r="A70" s="16" t="s">
        <v>161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6"/>
    </row>
    <row r="71" spans="1:16" ht="21.75" customHeight="1" x14ac:dyDescent="0.25">
      <c r="A71" s="2" t="s">
        <v>162</v>
      </c>
      <c r="B71" s="2" t="s">
        <v>163</v>
      </c>
      <c r="C71" s="2" t="s">
        <v>48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6" ht="19.5" customHeight="1" x14ac:dyDescent="0.25">
      <c r="A72" s="17" t="s">
        <v>164</v>
      </c>
      <c r="B72" s="18" t="s">
        <v>165</v>
      </c>
      <c r="C72" s="17" t="s">
        <v>48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</row>
    <row r="73" spans="1:16" ht="19.5" customHeight="1" x14ac:dyDescent="0.25">
      <c r="A73" s="17" t="s">
        <v>166</v>
      </c>
      <c r="B73" s="18" t="s">
        <v>167</v>
      </c>
      <c r="C73" s="17" t="s">
        <v>48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</row>
    <row r="74" spans="1:16" ht="19.5" customHeight="1" x14ac:dyDescent="0.25">
      <c r="A74" s="17" t="s">
        <v>168</v>
      </c>
      <c r="B74" s="18" t="s">
        <v>169</v>
      </c>
      <c r="C74" s="17" t="s">
        <v>48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</row>
    <row r="75" spans="1:16" ht="19.5" customHeight="1" x14ac:dyDescent="0.25">
      <c r="A75" s="17" t="s">
        <v>170</v>
      </c>
      <c r="B75" s="18" t="s">
        <v>171</v>
      </c>
      <c r="C75" s="17" t="s">
        <v>48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</row>
    <row r="76" spans="1:16" ht="19.5" customHeight="1" x14ac:dyDescent="0.25">
      <c r="A76" s="20" t="s">
        <v>172</v>
      </c>
      <c r="B76" s="21" t="s">
        <v>173</v>
      </c>
      <c r="C76" s="17" t="s">
        <v>48</v>
      </c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</row>
    <row r="77" spans="1:16" ht="21.75" customHeight="1" x14ac:dyDescent="0.25">
      <c r="A77" s="2" t="s">
        <v>174</v>
      </c>
      <c r="B77" s="2" t="s">
        <v>175</v>
      </c>
      <c r="C77" s="2" t="s">
        <v>48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6" ht="19.5" customHeight="1" x14ac:dyDescent="0.25">
      <c r="A78" s="17" t="s">
        <v>176</v>
      </c>
      <c r="B78" s="18" t="s">
        <v>177</v>
      </c>
      <c r="C78" s="17" t="s">
        <v>48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</row>
    <row r="79" spans="1:16" ht="19.5" customHeight="1" x14ac:dyDescent="0.25">
      <c r="A79" s="23" t="s">
        <v>57</v>
      </c>
      <c r="B79" s="27" t="s">
        <v>178</v>
      </c>
      <c r="C79" s="27" t="s">
        <v>48</v>
      </c>
      <c r="D79" s="27">
        <f t="shared" ref="D79:O79" si="8">SUM(D63,D64,D65,D66,D67,D69,D70)</f>
        <v>0</v>
      </c>
      <c r="E79" s="27">
        <f t="shared" si="8"/>
        <v>0</v>
      </c>
      <c r="F79" s="27">
        <f t="shared" si="8"/>
        <v>0</v>
      </c>
      <c r="G79" s="27">
        <f t="shared" si="8"/>
        <v>0</v>
      </c>
      <c r="H79" s="27">
        <f t="shared" si="8"/>
        <v>0</v>
      </c>
      <c r="I79" s="27">
        <f t="shared" si="8"/>
        <v>0</v>
      </c>
      <c r="J79" s="27">
        <f t="shared" si="8"/>
        <v>0</v>
      </c>
      <c r="K79" s="27">
        <f t="shared" si="8"/>
        <v>0</v>
      </c>
      <c r="L79" s="27">
        <f t="shared" si="8"/>
        <v>0</v>
      </c>
      <c r="M79" s="27">
        <f t="shared" si="8"/>
        <v>0</v>
      </c>
      <c r="N79" s="27">
        <f t="shared" si="8"/>
        <v>0</v>
      </c>
      <c r="O79" s="27">
        <f t="shared" si="8"/>
        <v>0</v>
      </c>
      <c r="P79" s="24">
        <f>D71+E71+F71+G71+H71+I71+J71+K71+L71+M71+N71+O71</f>
        <v>0</v>
      </c>
    </row>
    <row r="80" spans="1:16" ht="19.5" customHeight="1" x14ac:dyDescent="0.25">
      <c r="A80" s="16" t="s">
        <v>179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6"/>
    </row>
    <row r="81" spans="1:16" ht="19.5" customHeight="1" x14ac:dyDescent="0.25">
      <c r="A81" s="17" t="s">
        <v>180</v>
      </c>
      <c r="B81" s="18" t="s">
        <v>181</v>
      </c>
      <c r="C81" s="17" t="s">
        <v>48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</row>
    <row r="82" spans="1:16" ht="19.5" customHeight="1" x14ac:dyDescent="0.25">
      <c r="A82" s="17" t="s">
        <v>182</v>
      </c>
      <c r="B82" s="18" t="s">
        <v>183</v>
      </c>
      <c r="C82" s="17" t="s">
        <v>48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</row>
    <row r="83" spans="1:16" ht="19.5" customHeight="1" x14ac:dyDescent="0.25">
      <c r="A83" s="17" t="s">
        <v>184</v>
      </c>
      <c r="B83" s="18" t="s">
        <v>185</v>
      </c>
      <c r="C83" s="17" t="s">
        <v>48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</row>
    <row r="84" spans="1:16" ht="19.5" customHeight="1" x14ac:dyDescent="0.25">
      <c r="A84" s="17" t="s">
        <v>186</v>
      </c>
      <c r="B84" s="18" t="s">
        <v>187</v>
      </c>
      <c r="C84" s="17" t="s">
        <v>48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</row>
    <row r="85" spans="1:16" ht="19.5" customHeight="1" x14ac:dyDescent="0.25">
      <c r="A85" s="20" t="s">
        <v>188</v>
      </c>
      <c r="B85" s="21" t="s">
        <v>189</v>
      </c>
      <c r="C85" s="17" t="s">
        <v>48</v>
      </c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</row>
    <row r="86" spans="1:16" ht="19.5" customHeight="1" x14ac:dyDescent="0.25">
      <c r="A86" s="23" t="s">
        <v>57</v>
      </c>
      <c r="B86" s="27" t="s">
        <v>190</v>
      </c>
      <c r="C86" s="27" t="s">
        <v>48</v>
      </c>
      <c r="D86" s="27">
        <f t="shared" ref="D86:O86" si="9">SUM(D72,D73,D74,D75)</f>
        <v>0</v>
      </c>
      <c r="E86" s="27">
        <f t="shared" si="9"/>
        <v>0</v>
      </c>
      <c r="F86" s="27">
        <f t="shared" si="9"/>
        <v>0</v>
      </c>
      <c r="G86" s="27">
        <f t="shared" si="9"/>
        <v>0</v>
      </c>
      <c r="H86" s="27">
        <f t="shared" si="9"/>
        <v>0</v>
      </c>
      <c r="I86" s="27">
        <f t="shared" si="9"/>
        <v>0</v>
      </c>
      <c r="J86" s="27">
        <f t="shared" si="9"/>
        <v>0</v>
      </c>
      <c r="K86" s="27">
        <f t="shared" si="9"/>
        <v>0</v>
      </c>
      <c r="L86" s="27">
        <f t="shared" si="9"/>
        <v>0</v>
      </c>
      <c r="M86" s="27">
        <f t="shared" si="9"/>
        <v>0</v>
      </c>
      <c r="N86" s="27">
        <f t="shared" si="9"/>
        <v>0</v>
      </c>
      <c r="O86" s="27">
        <f t="shared" si="9"/>
        <v>0</v>
      </c>
      <c r="P86" s="24">
        <f>D77+E77+F77+G77+H77+I77+J77+K77+L77+M77+N77+O77</f>
        <v>0</v>
      </c>
    </row>
    <row r="87" spans="1:16" ht="21.75" customHeight="1" x14ac:dyDescent="0.25">
      <c r="A87" s="5" t="s">
        <v>191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spans="1:16" ht="19.5" customHeight="1" x14ac:dyDescent="0.25">
      <c r="A88" s="17" t="s">
        <v>192</v>
      </c>
      <c r="B88" s="18" t="s">
        <v>193</v>
      </c>
      <c r="C88" s="17" t="s">
        <v>48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</row>
    <row r="89" spans="1:16" ht="19.5" customHeight="1" x14ac:dyDescent="0.25">
      <c r="A89" s="17" t="s">
        <v>194</v>
      </c>
      <c r="B89" s="18" t="s">
        <v>195</v>
      </c>
      <c r="C89" s="17" t="s">
        <v>48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</row>
    <row r="90" spans="1:16" ht="19.5" customHeight="1" x14ac:dyDescent="0.25">
      <c r="A90" s="17" t="s">
        <v>196</v>
      </c>
      <c r="B90" s="18" t="s">
        <v>197</v>
      </c>
      <c r="C90" s="17" t="s">
        <v>48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</row>
    <row r="91" spans="1:16" ht="19.5" customHeight="1" x14ac:dyDescent="0.25">
      <c r="A91" s="17" t="s">
        <v>198</v>
      </c>
      <c r="B91" s="18" t="s">
        <v>199</v>
      </c>
      <c r="C91" s="17" t="s">
        <v>48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</row>
    <row r="92" spans="1:16" ht="19.5" customHeight="1" x14ac:dyDescent="0.25">
      <c r="A92" s="17" t="s">
        <v>200</v>
      </c>
      <c r="B92" s="18" t="s">
        <v>201</v>
      </c>
      <c r="C92" s="17" t="s">
        <v>48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</row>
    <row r="93" spans="1:16" ht="21.75" customHeight="1" x14ac:dyDescent="0.25">
      <c r="A93" s="3" t="s">
        <v>202</v>
      </c>
      <c r="B93" s="3" t="s">
        <v>203</v>
      </c>
      <c r="C93" s="3" t="s">
        <v>48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6" ht="19.5" customHeight="1" x14ac:dyDescent="0.25">
      <c r="A94" s="17" t="s">
        <v>204</v>
      </c>
      <c r="B94" s="18" t="s">
        <v>205</v>
      </c>
      <c r="C94" s="17" t="s">
        <v>48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</row>
    <row r="95" spans="1:16" ht="19.5" customHeight="1" x14ac:dyDescent="0.25">
      <c r="A95" s="17" t="s">
        <v>206</v>
      </c>
      <c r="B95" s="18" t="s">
        <v>207</v>
      </c>
      <c r="C95" s="17" t="s">
        <v>48</v>
      </c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</row>
    <row r="96" spans="1:16" ht="15" customHeight="1" x14ac:dyDescent="0.25">
      <c r="A96" s="20" t="s">
        <v>208</v>
      </c>
      <c r="B96" s="21" t="s">
        <v>209</v>
      </c>
      <c r="C96" s="17" t="s">
        <v>48</v>
      </c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</row>
    <row r="97" spans="1:16" ht="15" customHeight="1" x14ac:dyDescent="0.25">
      <c r="A97" s="23" t="s">
        <v>57</v>
      </c>
      <c r="B97" s="27" t="s">
        <v>210</v>
      </c>
      <c r="C97" s="27" t="s">
        <v>48</v>
      </c>
      <c r="D97" s="27">
        <f t="shared" ref="D97:O97" si="10">SUM(D78,D79,D80,D81,D82,D84,D85)</f>
        <v>0</v>
      </c>
      <c r="E97" s="27">
        <f t="shared" si="10"/>
        <v>0</v>
      </c>
      <c r="F97" s="27">
        <f t="shared" si="10"/>
        <v>0</v>
      </c>
      <c r="G97" s="27">
        <f t="shared" si="10"/>
        <v>0</v>
      </c>
      <c r="H97" s="27">
        <f t="shared" si="10"/>
        <v>0</v>
      </c>
      <c r="I97" s="27">
        <f t="shared" si="10"/>
        <v>0</v>
      </c>
      <c r="J97" s="27">
        <f t="shared" si="10"/>
        <v>0</v>
      </c>
      <c r="K97" s="27">
        <f t="shared" si="10"/>
        <v>0</v>
      </c>
      <c r="L97" s="27">
        <f t="shared" si="10"/>
        <v>0</v>
      </c>
      <c r="M97" s="27">
        <f t="shared" si="10"/>
        <v>0</v>
      </c>
      <c r="N97" s="27">
        <f t="shared" si="10"/>
        <v>0</v>
      </c>
      <c r="O97" s="27">
        <f t="shared" si="10"/>
        <v>0</v>
      </c>
      <c r="P97" s="24">
        <f>D87+E87+F87+G87+H87+I87+J87+K87+L87+M87+N87+O87</f>
        <v>0</v>
      </c>
    </row>
    <row r="98" spans="1:16" ht="15" customHeight="1" x14ac:dyDescent="0.25">
      <c r="A98" s="16" t="s">
        <v>211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6"/>
    </row>
    <row r="99" spans="1:16" ht="15" customHeight="1" x14ac:dyDescent="0.25">
      <c r="A99" s="17" t="s">
        <v>212</v>
      </c>
      <c r="B99" s="18" t="s">
        <v>213</v>
      </c>
      <c r="C99" s="17" t="s">
        <v>48</v>
      </c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</row>
    <row r="100" spans="1:16" ht="15" customHeight="1" x14ac:dyDescent="0.25">
      <c r="A100" s="17" t="s">
        <v>214</v>
      </c>
      <c r="B100" s="18" t="s">
        <v>215</v>
      </c>
      <c r="C100" s="17" t="s">
        <v>48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</row>
    <row r="101" spans="1:16" ht="15" customHeight="1" x14ac:dyDescent="0.25">
      <c r="A101" s="17" t="s">
        <v>216</v>
      </c>
      <c r="B101" s="18" t="s">
        <v>217</v>
      </c>
      <c r="C101" s="17" t="s">
        <v>48</v>
      </c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</row>
    <row r="102" spans="1:16" ht="15" customHeight="1" x14ac:dyDescent="0.25">
      <c r="A102" s="17" t="s">
        <v>218</v>
      </c>
      <c r="B102" s="18" t="s">
        <v>219</v>
      </c>
      <c r="C102" s="17" t="s">
        <v>48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</row>
    <row r="103" spans="1:16" ht="15" customHeight="1" x14ac:dyDescent="0.25">
      <c r="A103" s="17" t="s">
        <v>220</v>
      </c>
      <c r="B103" s="18" t="s">
        <v>221</v>
      </c>
      <c r="C103" s="17" t="s">
        <v>48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</row>
    <row r="104" spans="1:16" ht="15" customHeight="1" x14ac:dyDescent="0.25">
      <c r="A104" s="23" t="s">
        <v>57</v>
      </c>
      <c r="B104" s="27" t="s">
        <v>222</v>
      </c>
      <c r="C104" s="27" t="s">
        <v>48</v>
      </c>
      <c r="D104" s="27">
        <f t="shared" ref="D104:O104" si="11">SUM(D88,D89,D90,D91,D92)</f>
        <v>0</v>
      </c>
      <c r="E104" s="27">
        <f t="shared" si="11"/>
        <v>0</v>
      </c>
      <c r="F104" s="27">
        <f t="shared" si="11"/>
        <v>0</v>
      </c>
      <c r="G104" s="27">
        <f t="shared" si="11"/>
        <v>0</v>
      </c>
      <c r="H104" s="27">
        <f t="shared" si="11"/>
        <v>0</v>
      </c>
      <c r="I104" s="27">
        <f t="shared" si="11"/>
        <v>0</v>
      </c>
      <c r="J104" s="27">
        <f t="shared" si="11"/>
        <v>0</v>
      </c>
      <c r="K104" s="27">
        <f t="shared" si="11"/>
        <v>0</v>
      </c>
      <c r="L104" s="27">
        <f t="shared" si="11"/>
        <v>0</v>
      </c>
      <c r="M104" s="27">
        <f t="shared" si="11"/>
        <v>0</v>
      </c>
      <c r="N104" s="27">
        <f t="shared" si="11"/>
        <v>0</v>
      </c>
      <c r="O104" s="27">
        <f t="shared" si="11"/>
        <v>0</v>
      </c>
      <c r="P104" s="24">
        <f>D93+E93+F93+G93+H93+I93+J93+K93+L93+M93+N93+O93</f>
        <v>0</v>
      </c>
    </row>
    <row r="105" spans="1:16" ht="15" customHeight="1" x14ac:dyDescent="0.25">
      <c r="A105" s="16" t="s">
        <v>223</v>
      </c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6"/>
    </row>
    <row r="106" spans="1:16" ht="15" customHeight="1" x14ac:dyDescent="0.25">
      <c r="A106" s="17" t="s">
        <v>224</v>
      </c>
      <c r="B106" s="18" t="s">
        <v>225</v>
      </c>
      <c r="C106" s="17" t="s">
        <v>226</v>
      </c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</row>
    <row r="107" spans="1:16" ht="15" customHeight="1" x14ac:dyDescent="0.25">
      <c r="A107" s="17" t="s">
        <v>227</v>
      </c>
      <c r="B107" s="18" t="s">
        <v>228</v>
      </c>
      <c r="C107" s="17" t="s">
        <v>226</v>
      </c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</row>
    <row r="108" spans="1:16" ht="15" customHeight="1" x14ac:dyDescent="0.25">
      <c r="A108" s="23" t="s">
        <v>57</v>
      </c>
      <c r="B108" s="27" t="s">
        <v>229</v>
      </c>
      <c r="C108" s="27" t="s">
        <v>226</v>
      </c>
      <c r="D108" s="27">
        <f t="shared" ref="D108:O108" si="12">SUM(D94,D95)</f>
        <v>0</v>
      </c>
      <c r="E108" s="27">
        <f t="shared" si="12"/>
        <v>0</v>
      </c>
      <c r="F108" s="27">
        <f t="shared" si="12"/>
        <v>0</v>
      </c>
      <c r="G108" s="27">
        <f t="shared" si="12"/>
        <v>0</v>
      </c>
      <c r="H108" s="27">
        <f t="shared" si="12"/>
        <v>0</v>
      </c>
      <c r="I108" s="27">
        <f t="shared" si="12"/>
        <v>0</v>
      </c>
      <c r="J108" s="27">
        <f t="shared" si="12"/>
        <v>0</v>
      </c>
      <c r="K108" s="27">
        <f t="shared" si="12"/>
        <v>0</v>
      </c>
      <c r="L108" s="27">
        <f t="shared" si="12"/>
        <v>0</v>
      </c>
      <c r="M108" s="27">
        <f t="shared" si="12"/>
        <v>0</v>
      </c>
      <c r="N108" s="27">
        <f t="shared" si="12"/>
        <v>0</v>
      </c>
      <c r="O108" s="27">
        <f t="shared" si="12"/>
        <v>0</v>
      </c>
      <c r="P108" s="24">
        <f>D96+E96+F96+G96+H96+I96+J96+K96+L96+M96+N96+O96</f>
        <v>0</v>
      </c>
    </row>
    <row r="109" spans="1:16" ht="15" customHeight="1" x14ac:dyDescent="0.25">
      <c r="A109" s="29" t="s">
        <v>57</v>
      </c>
      <c r="B109" s="24" t="s">
        <v>230</v>
      </c>
      <c r="C109" s="24" t="s">
        <v>48</v>
      </c>
      <c r="P109" s="24">
        <f>(D6+E6+F6+G6+H6+I6+J6+K6+L6+M6+N6+O6)+(D7+E7+F7+G7+H7+I7+J7+K7+L7+M7+N7+O7)+(D8+E8+F8+G8+H8+I8+J8+K8+L8+M8+N8+O8)+(D9+E9+F9+G9+H9+I9+J9+K9+L9+M9+N9+O9)</f>
        <v>0</v>
      </c>
    </row>
    <row r="110" spans="1:16" x14ac:dyDescent="0.25">
      <c r="A110" s="29" t="s">
        <v>57</v>
      </c>
      <c r="B110" s="24" t="s">
        <v>231</v>
      </c>
      <c r="C110" s="24" t="s">
        <v>48</v>
      </c>
      <c r="P110" s="24">
        <f>(D12+E12+F12+G12+H12+I12+J12+K12+L12+M12+N12+O12)+(D13+E13+F13+G13+H13+I13+J13+K13+L13+M13+N13+O13)+(D14+E14+F14+G14+H14+I14+J14+K14+L14+M14+N14+O14)+(D15+E15+F15+G15+H15+I15+J15+K15+L15+M15+N15+O15)+(D16+E16+F16+G16+H16+I16+J16+K16+L16+M16+N16+O16)+(D18+E18+F18+G18+H18+I18+J18+K18+L18+M18+N18+O18)+(D19+E19+F19+G19+H19+I19+J19+K19+L19+M19+N19+O19)</f>
        <v>0</v>
      </c>
    </row>
    <row r="111" spans="1:16" x14ac:dyDescent="0.25">
      <c r="A111" s="29" t="s">
        <v>57</v>
      </c>
      <c r="B111" s="24" t="s">
        <v>232</v>
      </c>
      <c r="C111" s="24" t="s">
        <v>48</v>
      </c>
      <c r="P111" s="24">
        <f>(D22+E22+F22+G22+H22+I22+J22+K22+L22+M22+N22+O22)+(D23+E23+F23+G23+H23+I23+J23+K23+L23+M23+N23+O23)+(D24+E24+F24+G24+H24+I24+J24+K24+L24+M24+N24+O24)</f>
        <v>0</v>
      </c>
    </row>
    <row r="112" spans="1:16" x14ac:dyDescent="0.25">
      <c r="A112" s="29" t="s">
        <v>57</v>
      </c>
      <c r="B112" s="24" t="s">
        <v>233</v>
      </c>
      <c r="C112" s="24" t="s">
        <v>48</v>
      </c>
      <c r="P112" s="24">
        <f>(D26+E26+F26+G26+H26+I26+J26+K26+L26+M26+N26+O26)+(D27+E27+F27+G27+H27+I27+J27+K27+L27+M27+N27+O27)+(D28+E28+F28+G28+H28+I28+J28+K28+L28+M28+N28+O28)+(D29+E29+F29+G29+H29+I29+J29+K29+L29+M29+N29+O29)+(D30+E30+F30+G30+H30+I30+J30+K30+L30+M30+N30+O30)</f>
        <v>0</v>
      </c>
    </row>
    <row r="113" spans="1:16" x14ac:dyDescent="0.25">
      <c r="A113" s="29" t="s">
        <v>57</v>
      </c>
      <c r="B113" s="24" t="s">
        <v>234</v>
      </c>
      <c r="C113" s="24" t="s">
        <v>48</v>
      </c>
      <c r="P113" s="24">
        <f>(D32+E32+F32+G32+H32+I32+J32+K32+L32+M32+N32+O32)+(D33+E33+F33+G33+H33+I33+J33+K33+L33+M33+N33+O33)+(D34+E34+F34+G34+H34+I34+J34+K34+L34+M34+N34+O34)+(D35+E35+F35+G35+H35+I35+J35+K35+L35+M35+N35+O35)+(D36+E36+F36+G36+H36+I36+J36+K36+L36+M36+N36+O36)+(D37+E37+F37+G37+H37+I37+J37+K37+L37+M37+N37+O37)+(D38+E38+F38+G38+H38+I38+J38+K38+L38+M38+N38+O38)</f>
        <v>0</v>
      </c>
    </row>
    <row r="114" spans="1:16" x14ac:dyDescent="0.25">
      <c r="A114" s="29" t="s">
        <v>57</v>
      </c>
      <c r="B114" s="24" t="s">
        <v>235</v>
      </c>
      <c r="C114" s="24" t="s">
        <v>48</v>
      </c>
      <c r="P114" s="24">
        <f>(D40+E40+F40+G40+H40+I40+J40+K40+L40+M40+N40+O40)+(D41+E41+F41+G41+H41+I41+J41+K41+L41+M41+N41+O41)+(D42+E42+F42+G42+H42+I42+J42+K42+L42+M42+N42+O42)+(D43+E43+F43+G43+H43+I43+J43+K43+L43+M43+N43+O43)</f>
        <v>0</v>
      </c>
    </row>
    <row r="115" spans="1:16" x14ac:dyDescent="0.25">
      <c r="A115" s="29" t="s">
        <v>57</v>
      </c>
      <c r="B115" s="24" t="s">
        <v>236</v>
      </c>
      <c r="C115" s="24" t="s">
        <v>48</v>
      </c>
      <c r="P115" s="24">
        <f>(D46+E46+F46+G46+H46+I46+J46+K46+L46+M46+N46+O46)+(D47+E47+F47+G47+H47+I47+J47+K47+L47+M47+N47+O47)+(D48+E48+F48+G48+H48+I48+J48+K48+L48+M48+N48+O48)+(D49+E49+F49+G49+H49+I49+J49+K49+L49+M49+N49+O49)+(D50+E50+F50+G50+H50+I50+J50+K50+L50+M50+N50+O50)+(D52+E52+F52+G52+H52+I52+J52+K52+L52+M52+N52+O52)+(D53+E53+F53+G53+H53+I53+J53+K53+L53+M53+N53+O53)</f>
        <v>0</v>
      </c>
    </row>
    <row r="116" spans="1:16" x14ac:dyDescent="0.25">
      <c r="A116" s="29" t="s">
        <v>57</v>
      </c>
      <c r="B116" s="24" t="s">
        <v>237</v>
      </c>
      <c r="C116" s="24" t="s">
        <v>48</v>
      </c>
      <c r="P116" s="24">
        <f>(D56+E56+F56+G56+H56+I56+J56+K56+L56+M56+N56+O56)+(D57+E57+F57+G57+H57+I57+J57+K57+L57+M57+N57+O57)+(D58+E58+F58+G58+H58+I58+J58+K58+L58+M58+N58+O58)+(D59+E59+F59+G59+H59+I59+J59+K59+L59+M59+N59+O59)+(D60+E60+F60+G60+H60+I60+J60+K60+L60+M60+N60+O60)+(D61+E61+F61+G61+H61+I61+J61+K61+L61+M61+N61+O61)</f>
        <v>0</v>
      </c>
    </row>
    <row r="117" spans="1:16" x14ac:dyDescent="0.25">
      <c r="A117" s="29" t="s">
        <v>57</v>
      </c>
      <c r="B117" s="24" t="s">
        <v>238</v>
      </c>
      <c r="C117" s="24" t="s">
        <v>48</v>
      </c>
      <c r="P117" s="24">
        <f>(D63+E63+F63+G63+H63+I63+J63+K63+L63+M63+N63+O63)+(D64+E64+F64+G64+H64+I64+J64+K64+L64+M64+N64+O64)+(D65+E65+F65+G65+H65+I65+J65+K65+L65+M65+N65+O65)+(D66+E66+F66+G66+H66+I66+J66+K66+L66+M66+N66+O66)+(D67+E67+F67+G67+H67+I67+J67+K67+L67+M67+N67+O67)+(D69+E69+F69+G69+H69+I69+J69+K69+L69+M69+N69+O69)+(D70+E70+F70+G70+H70+I70+J70+K70+L70+M70+N70+O70)</f>
        <v>0</v>
      </c>
    </row>
    <row r="118" spans="1:16" x14ac:dyDescent="0.25">
      <c r="A118" s="29" t="s">
        <v>57</v>
      </c>
      <c r="B118" s="24" t="s">
        <v>239</v>
      </c>
      <c r="C118" s="24" t="s">
        <v>48</v>
      </c>
      <c r="P118" s="24">
        <f>(D72+E72+F72+G72+H72+I72+J72+K72+L72+M72+N72+O72)+(D73+E73+F73+G73+H73+I73+J73+K73+L73+M73+N73+O73)+(D74+E74+F74+G74+H74+I74+J74+K74+L74+M74+N74+O74)+(D75+E75+F75+G75+H75+I75+J75+K75+L75+M75+N75+O75)</f>
        <v>0</v>
      </c>
    </row>
    <row r="119" spans="1:16" x14ac:dyDescent="0.25">
      <c r="A119" s="29" t="s">
        <v>57</v>
      </c>
      <c r="B119" s="24" t="s">
        <v>240</v>
      </c>
      <c r="C119" s="24" t="s">
        <v>48</v>
      </c>
      <c r="P119" s="24">
        <f>(D78+E78+F78+G78+H78+I78+J78+K78+L78+M78+N78+O78)+(D79+E79+F79+G79+H79+I79+J79+K79+L79+M79+N79+O79)+(D80+E80+F80+G80+H80+I80+J80+K80+L80+M80+N80+O80)+(D81+E81+F81+G81+H81+I81+J81+K81+L81+M81+N81+O81)+(D82+E82+F82+G82+H82+I82+J82+K82+L82+M82+N82+O82)+(D84+E84+F84+G84+H84+I84+J84+K84+L84+M84+N84+O84)+(D85+E85+F85+G85+H85+I85+J85+K85+L85+M85+N85+O85)</f>
        <v>0</v>
      </c>
    </row>
    <row r="120" spans="1:16" x14ac:dyDescent="0.25">
      <c r="A120" s="29" t="s">
        <v>57</v>
      </c>
      <c r="B120" s="24" t="s">
        <v>241</v>
      </c>
      <c r="C120" s="24" t="s">
        <v>48</v>
      </c>
      <c r="P120" s="24">
        <f>(D88+E88+F88+G88+H88+I88+J88+K88+L88+M88+N88+O88)+(D89+E89+F89+G89+H89+I89+J89+K89+L89+M89+N89+O89)+(D90+E90+F90+G90+H90+I90+J90+K90+L90+M90+N90+O90)+(D91+E91+F91+G91+H91+I91+J91+K91+L91+M91+N91+O91)+(D92+E92+F92+G92+H92+I92+J92+K92+L92+M92+N92+O92)</f>
        <v>0</v>
      </c>
    </row>
    <row r="121" spans="1:16" x14ac:dyDescent="0.25">
      <c r="A121" s="29" t="s">
        <v>57</v>
      </c>
      <c r="B121" s="24" t="s">
        <v>242</v>
      </c>
      <c r="C121" s="24" t="s">
        <v>226</v>
      </c>
      <c r="P121" s="24">
        <f>(D94+E94+F94+G94+H94+I94+J94+K94+L94+M94+N94+O94)</f>
        <v>0</v>
      </c>
    </row>
    <row r="122" spans="1:16" x14ac:dyDescent="0.25">
      <c r="A122" s="29" t="s">
        <v>57</v>
      </c>
      <c r="B122" s="24" t="s">
        <v>243</v>
      </c>
      <c r="C122" s="24" t="s">
        <v>226</v>
      </c>
      <c r="P122" s="24">
        <f>(D95+E95+F95+G95+H95+I95+J95+K95+L95+M95+N95+O95)</f>
        <v>0</v>
      </c>
    </row>
  </sheetData>
  <mergeCells count="15">
    <mergeCell ref="A62:O62"/>
    <mergeCell ref="A71:O71"/>
    <mergeCell ref="A77:O77"/>
    <mergeCell ref="A87:O87"/>
    <mergeCell ref="A93:O93"/>
    <mergeCell ref="A25:O25"/>
    <mergeCell ref="A31:O31"/>
    <mergeCell ref="A39:O39"/>
    <mergeCell ref="A45:O45"/>
    <mergeCell ref="A55:O55"/>
    <mergeCell ref="A1:O1"/>
    <mergeCell ref="A2:O2"/>
    <mergeCell ref="A5:O5"/>
    <mergeCell ref="A11:O11"/>
    <mergeCell ref="A21:O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21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7109375" defaultRowHeight="15" x14ac:dyDescent="0.25"/>
  <cols>
    <col min="1" max="1" width="8" customWidth="1"/>
    <col min="2" max="2" width="45" customWidth="1"/>
    <col min="3" max="3" width="10" customWidth="1"/>
    <col min="4" max="15" width="14" customWidth="1"/>
    <col min="16" max="16" width="16" customWidth="1"/>
  </cols>
  <sheetData>
    <row r="1" spans="1:16" ht="30" customHeight="1" x14ac:dyDescent="0.25">
      <c r="A1" s="7" t="s">
        <v>244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6" ht="19.5" customHeight="1" x14ac:dyDescent="0.25">
      <c r="A2" s="6" t="s">
        <v>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spans="1:16" ht="24.75" customHeight="1" x14ac:dyDescent="0.25">
      <c r="A4" s="14" t="s">
        <v>29</v>
      </c>
      <c r="B4" s="14" t="s">
        <v>30</v>
      </c>
      <c r="C4" s="14" t="s">
        <v>31</v>
      </c>
      <c r="D4" s="14" t="s">
        <v>32</v>
      </c>
      <c r="E4" s="14" t="s">
        <v>33</v>
      </c>
      <c r="F4" s="14" t="s">
        <v>34</v>
      </c>
      <c r="G4" s="14" t="s">
        <v>35</v>
      </c>
      <c r="H4" s="14" t="s">
        <v>36</v>
      </c>
      <c r="I4" s="14" t="s">
        <v>37</v>
      </c>
      <c r="J4" s="14" t="s">
        <v>38</v>
      </c>
      <c r="K4" s="14" t="s">
        <v>39</v>
      </c>
      <c r="L4" s="14" t="s">
        <v>40</v>
      </c>
      <c r="M4" s="14" t="s">
        <v>41</v>
      </c>
      <c r="N4" s="14" t="s">
        <v>42</v>
      </c>
      <c r="O4" s="14" t="s">
        <v>43</v>
      </c>
      <c r="P4" s="15" t="s">
        <v>44</v>
      </c>
    </row>
    <row r="5" spans="1:16" ht="21.75" customHeight="1" x14ac:dyDescent="0.25">
      <c r="A5" s="5" t="s">
        <v>245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6" ht="19.5" customHeight="1" x14ac:dyDescent="0.25">
      <c r="A6" s="17" t="s">
        <v>246</v>
      </c>
      <c r="B6" s="18" t="s">
        <v>247</v>
      </c>
      <c r="C6" s="17" t="s">
        <v>48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  <row r="7" spans="1:16" ht="19.5" customHeight="1" x14ac:dyDescent="0.25">
      <c r="A7" s="17" t="s">
        <v>248</v>
      </c>
      <c r="B7" s="18" t="s">
        <v>249</v>
      </c>
      <c r="C7" s="17" t="s">
        <v>48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6" ht="21.75" customHeight="1" x14ac:dyDescent="0.25">
      <c r="A8" s="4" t="s">
        <v>57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24">
        <f>D8+E8+F8+G8+H8+I8+J8+K8+L8+M8+N8+O8</f>
        <v>0</v>
      </c>
    </row>
    <row r="9" spans="1:16" ht="19.5" customHeight="1" x14ac:dyDescent="0.25">
      <c r="A9" s="16" t="s">
        <v>250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6"/>
    </row>
    <row r="10" spans="1:16" ht="19.5" customHeight="1" x14ac:dyDescent="0.25">
      <c r="A10" s="17" t="s">
        <v>251</v>
      </c>
      <c r="B10" s="18" t="s">
        <v>252</v>
      </c>
      <c r="C10" s="17" t="s">
        <v>48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</row>
    <row r="11" spans="1:16" ht="21.75" customHeight="1" x14ac:dyDescent="0.25">
      <c r="A11" s="2" t="s">
        <v>253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6" ht="19.5" customHeight="1" x14ac:dyDescent="0.25">
      <c r="A12" s="23" t="s">
        <v>57</v>
      </c>
      <c r="B12" s="27" t="s">
        <v>254</v>
      </c>
      <c r="C12" s="27" t="s">
        <v>48</v>
      </c>
      <c r="D12" s="27">
        <f t="shared" ref="D12:O12" si="0">SUM(D9,D10)</f>
        <v>0</v>
      </c>
      <c r="E12" s="27">
        <f t="shared" si="0"/>
        <v>0</v>
      </c>
      <c r="F12" s="27">
        <f t="shared" si="0"/>
        <v>0</v>
      </c>
      <c r="G12" s="27">
        <f t="shared" si="0"/>
        <v>0</v>
      </c>
      <c r="H12" s="27">
        <f t="shared" si="0"/>
        <v>0</v>
      </c>
      <c r="I12" s="27">
        <f t="shared" si="0"/>
        <v>0</v>
      </c>
      <c r="J12" s="27">
        <f t="shared" si="0"/>
        <v>0</v>
      </c>
      <c r="K12" s="27">
        <f t="shared" si="0"/>
        <v>0</v>
      </c>
      <c r="L12" s="27">
        <f t="shared" si="0"/>
        <v>0</v>
      </c>
      <c r="M12" s="27">
        <f t="shared" si="0"/>
        <v>0</v>
      </c>
      <c r="N12" s="27">
        <f t="shared" si="0"/>
        <v>0</v>
      </c>
      <c r="O12" s="27">
        <f t="shared" si="0"/>
        <v>0</v>
      </c>
      <c r="P12" s="24">
        <f>D11+E11+F11+G11+H11+I11+J11+K11+L11+M11+N11+O11</f>
        <v>0</v>
      </c>
    </row>
    <row r="13" spans="1:16" ht="19.5" customHeight="1" x14ac:dyDescent="0.25">
      <c r="A13" s="16" t="s">
        <v>255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6"/>
    </row>
    <row r="14" spans="1:16" ht="19.5" customHeight="1" x14ac:dyDescent="0.25">
      <c r="A14" s="17" t="s">
        <v>256</v>
      </c>
      <c r="B14" s="18" t="s">
        <v>257</v>
      </c>
      <c r="C14" s="17" t="s">
        <v>48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</row>
    <row r="15" spans="1:16" ht="15" customHeight="1" x14ac:dyDescent="0.25">
      <c r="A15" s="17" t="s">
        <v>258</v>
      </c>
      <c r="B15" s="18" t="s">
        <v>259</v>
      </c>
      <c r="C15" s="17" t="s">
        <v>48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</row>
    <row r="16" spans="1:16" ht="15" customHeight="1" x14ac:dyDescent="0.25">
      <c r="A16" s="17" t="s">
        <v>260</v>
      </c>
      <c r="B16" s="18" t="s">
        <v>261</v>
      </c>
      <c r="C16" s="17" t="s">
        <v>48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6" ht="15" customHeight="1" x14ac:dyDescent="0.25">
      <c r="A17" s="23" t="s">
        <v>57</v>
      </c>
      <c r="B17" s="27" t="s">
        <v>262</v>
      </c>
      <c r="C17" s="27" t="s">
        <v>48</v>
      </c>
      <c r="D17" s="27">
        <f t="shared" ref="D17:O17" si="1">SUM(D12,D13,D14)</f>
        <v>0</v>
      </c>
      <c r="E17" s="27">
        <f t="shared" si="1"/>
        <v>0</v>
      </c>
      <c r="F17" s="27">
        <f t="shared" si="1"/>
        <v>0</v>
      </c>
      <c r="G17" s="27">
        <f t="shared" si="1"/>
        <v>0</v>
      </c>
      <c r="H17" s="27">
        <f t="shared" si="1"/>
        <v>0</v>
      </c>
      <c r="I17" s="27">
        <f t="shared" si="1"/>
        <v>0</v>
      </c>
      <c r="J17" s="27">
        <f t="shared" si="1"/>
        <v>0</v>
      </c>
      <c r="K17" s="27">
        <f t="shared" si="1"/>
        <v>0</v>
      </c>
      <c r="L17" s="27">
        <f t="shared" si="1"/>
        <v>0</v>
      </c>
      <c r="M17" s="27">
        <f t="shared" si="1"/>
        <v>0</v>
      </c>
      <c r="N17" s="27">
        <f t="shared" si="1"/>
        <v>0</v>
      </c>
      <c r="O17" s="27">
        <f t="shared" si="1"/>
        <v>0</v>
      </c>
      <c r="P17" s="24">
        <f>D15+E15+F15+G15+H15+I15+J15+K15+L15+M15+N15+O15</f>
        <v>0</v>
      </c>
    </row>
    <row r="18" spans="1:16" ht="15" customHeight="1" x14ac:dyDescent="0.25">
      <c r="A18" s="29" t="s">
        <v>57</v>
      </c>
      <c r="B18" s="24" t="s">
        <v>263</v>
      </c>
      <c r="C18" s="24" t="s">
        <v>48</v>
      </c>
      <c r="P18" s="24">
        <f>(D6+E6+F6+G6+H6+I6+J6+K6+L6+M6+N6+O6)+(D7+E7+F7+G7+H7+I7+J7+K7+L7+M7+N7+O7)</f>
        <v>0</v>
      </c>
    </row>
    <row r="19" spans="1:16" x14ac:dyDescent="0.25">
      <c r="A19" s="29" t="s">
        <v>57</v>
      </c>
      <c r="B19" s="24" t="s">
        <v>264</v>
      </c>
      <c r="C19" s="24" t="s">
        <v>48</v>
      </c>
      <c r="P19" s="24">
        <f>(D9+E9+F9+G9+H9+I9+J9+K9+L9+M9+N9+O9)</f>
        <v>0</v>
      </c>
    </row>
    <row r="20" spans="1:16" x14ac:dyDescent="0.25">
      <c r="A20" s="29" t="s">
        <v>57</v>
      </c>
      <c r="B20" s="24" t="s">
        <v>265</v>
      </c>
      <c r="C20" s="24" t="s">
        <v>226</v>
      </c>
      <c r="P20" s="24">
        <f>(D10+E10+F10+G10+H10+I10+J10+K10+L10+M10+N10+O10)</f>
        <v>0</v>
      </c>
    </row>
    <row r="21" spans="1:16" x14ac:dyDescent="0.25">
      <c r="A21" s="29" t="s">
        <v>57</v>
      </c>
      <c r="B21" s="24" t="s">
        <v>266</v>
      </c>
      <c r="C21" s="24" t="s">
        <v>48</v>
      </c>
      <c r="P21" s="24">
        <f>(D12+E12+F12+G12+H12+I12+J12+K12+L12+M12+N12+O12)+(D13+E13+F13+G13+H13+I13+J13+K13+L13+M13+N13+O13)+(D14+E14+F14+G14+H14+I14+J14+K14+L14+M14+N14+O14)</f>
        <v>0</v>
      </c>
    </row>
  </sheetData>
  <mergeCells count="5">
    <mergeCell ref="A1:O1"/>
    <mergeCell ref="A2:O2"/>
    <mergeCell ref="A5:O5"/>
    <mergeCell ref="A8:O8"/>
    <mergeCell ref="A11:O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48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7109375" defaultRowHeight="15" x14ac:dyDescent="0.25"/>
  <cols>
    <col min="1" max="1" width="8" customWidth="1"/>
    <col min="2" max="2" width="45" customWidth="1"/>
    <col min="3" max="3" width="10" customWidth="1"/>
    <col min="4" max="15" width="14" customWidth="1"/>
    <col min="16" max="16" width="16" customWidth="1"/>
  </cols>
  <sheetData>
    <row r="1" spans="1:16" ht="30" customHeight="1" x14ac:dyDescent="0.25">
      <c r="A1" s="7" t="s">
        <v>267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6" ht="19.5" customHeight="1" x14ac:dyDescent="0.25">
      <c r="A2" s="6" t="s">
        <v>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spans="1:16" ht="24.75" customHeight="1" x14ac:dyDescent="0.25">
      <c r="A4" s="14" t="s">
        <v>29</v>
      </c>
      <c r="B4" s="14" t="s">
        <v>30</v>
      </c>
      <c r="C4" s="14" t="s">
        <v>31</v>
      </c>
      <c r="D4" s="14" t="s">
        <v>32</v>
      </c>
      <c r="E4" s="14" t="s">
        <v>33</v>
      </c>
      <c r="F4" s="14" t="s">
        <v>34</v>
      </c>
      <c r="G4" s="14" t="s">
        <v>35</v>
      </c>
      <c r="H4" s="14" t="s">
        <v>36</v>
      </c>
      <c r="I4" s="14" t="s">
        <v>37</v>
      </c>
      <c r="J4" s="14" t="s">
        <v>38</v>
      </c>
      <c r="K4" s="14" t="s">
        <v>39</v>
      </c>
      <c r="L4" s="14" t="s">
        <v>40</v>
      </c>
      <c r="M4" s="14" t="s">
        <v>41</v>
      </c>
      <c r="N4" s="14" t="s">
        <v>42</v>
      </c>
      <c r="O4" s="14" t="s">
        <v>43</v>
      </c>
      <c r="P4" s="15" t="s">
        <v>44</v>
      </c>
    </row>
    <row r="5" spans="1:16" ht="21.75" customHeight="1" x14ac:dyDescent="0.25">
      <c r="A5" s="5" t="s">
        <v>268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6" ht="19.5" customHeight="1" x14ac:dyDescent="0.25">
      <c r="A6" s="17" t="s">
        <v>269</v>
      </c>
      <c r="B6" s="18" t="s">
        <v>270</v>
      </c>
      <c r="C6" s="17" t="s">
        <v>48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  <row r="7" spans="1:16" ht="19.5" customHeight="1" x14ac:dyDescent="0.25">
      <c r="A7" s="17" t="s">
        <v>271</v>
      </c>
      <c r="B7" s="18" t="s">
        <v>272</v>
      </c>
      <c r="C7" s="17" t="s">
        <v>48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6" ht="19.5" customHeight="1" x14ac:dyDescent="0.25">
      <c r="A8" s="17" t="s">
        <v>273</v>
      </c>
      <c r="B8" s="18" t="s">
        <v>274</v>
      </c>
      <c r="C8" s="17" t="s">
        <v>48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6" ht="19.5" customHeight="1" x14ac:dyDescent="0.25">
      <c r="A9" s="17" t="s">
        <v>275</v>
      </c>
      <c r="B9" s="18" t="s">
        <v>276</v>
      </c>
      <c r="C9" s="17" t="s">
        <v>48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6" ht="19.5" customHeight="1" x14ac:dyDescent="0.25">
      <c r="A10" s="17" t="s">
        <v>277</v>
      </c>
      <c r="B10" s="18" t="s">
        <v>278</v>
      </c>
      <c r="C10" s="17" t="s">
        <v>48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</row>
    <row r="11" spans="1:16" ht="19.5" customHeight="1" x14ac:dyDescent="0.25">
      <c r="A11" s="20" t="s">
        <v>279</v>
      </c>
      <c r="B11" s="21" t="s">
        <v>280</v>
      </c>
      <c r="C11" s="17" t="s">
        <v>48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6" ht="21.75" customHeight="1" x14ac:dyDescent="0.25">
      <c r="A12" s="4" t="s">
        <v>57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24">
        <f>D12+E12+F12+G12+H12+I12+J12+K12+L12+M12+N12+O12</f>
        <v>0</v>
      </c>
    </row>
    <row r="13" spans="1:16" ht="19.5" customHeight="1" x14ac:dyDescent="0.25">
      <c r="A13" s="16" t="s">
        <v>281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6"/>
    </row>
    <row r="14" spans="1:16" ht="19.5" customHeight="1" x14ac:dyDescent="0.25">
      <c r="A14" s="17" t="s">
        <v>282</v>
      </c>
      <c r="B14" s="18" t="s">
        <v>283</v>
      </c>
      <c r="C14" s="17" t="s">
        <v>48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</row>
    <row r="15" spans="1:16" ht="19.5" customHeight="1" x14ac:dyDescent="0.25">
      <c r="A15" s="17" t="s">
        <v>284</v>
      </c>
      <c r="B15" s="18" t="s">
        <v>285</v>
      </c>
      <c r="C15" s="17" t="s">
        <v>48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</row>
    <row r="16" spans="1:16" ht="19.5" customHeight="1" x14ac:dyDescent="0.25">
      <c r="A16" s="17" t="s">
        <v>286</v>
      </c>
      <c r="B16" s="18" t="s">
        <v>287</v>
      </c>
      <c r="C16" s="17" t="s">
        <v>48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6" ht="19.5" customHeight="1" x14ac:dyDescent="0.25">
      <c r="A17" s="17" t="s">
        <v>288</v>
      </c>
      <c r="B17" s="18" t="s">
        <v>289</v>
      </c>
      <c r="C17" s="17" t="s">
        <v>48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</row>
    <row r="18" spans="1:16" ht="19.5" customHeight="1" x14ac:dyDescent="0.25">
      <c r="A18" s="17" t="s">
        <v>290</v>
      </c>
      <c r="B18" s="18" t="s">
        <v>291</v>
      </c>
      <c r="C18" s="17" t="s">
        <v>48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1:16" ht="19.5" customHeight="1" x14ac:dyDescent="0.25">
      <c r="A19" s="17" t="s">
        <v>292</v>
      </c>
      <c r="B19" s="18" t="s">
        <v>293</v>
      </c>
      <c r="C19" s="17" t="s">
        <v>48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6" ht="19.5" customHeight="1" x14ac:dyDescent="0.25">
      <c r="A20" s="17" t="s">
        <v>294</v>
      </c>
      <c r="B20" s="18" t="s">
        <v>295</v>
      </c>
      <c r="C20" s="17" t="s">
        <v>48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6" ht="19.5" customHeight="1" x14ac:dyDescent="0.25">
      <c r="A21" s="17" t="s">
        <v>296</v>
      </c>
      <c r="B21" s="18" t="s">
        <v>297</v>
      </c>
      <c r="C21" s="17" t="s">
        <v>48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6" ht="19.5" customHeight="1" x14ac:dyDescent="0.25">
      <c r="A22" s="17" t="s">
        <v>298</v>
      </c>
      <c r="B22" s="18" t="s">
        <v>299</v>
      </c>
      <c r="C22" s="17" t="s">
        <v>48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16" ht="19.5" customHeight="1" x14ac:dyDescent="0.25">
      <c r="A23" s="17" t="s">
        <v>300</v>
      </c>
      <c r="B23" s="18" t="s">
        <v>301</v>
      </c>
      <c r="C23" s="17" t="s">
        <v>48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16" ht="21.75" customHeight="1" x14ac:dyDescent="0.25">
      <c r="A24" s="3" t="s">
        <v>302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6" ht="19.5" customHeight="1" x14ac:dyDescent="0.25">
      <c r="A25" s="23" t="s">
        <v>57</v>
      </c>
      <c r="B25" s="27" t="s">
        <v>303</v>
      </c>
      <c r="C25" s="27" t="s">
        <v>48</v>
      </c>
      <c r="D25" s="27">
        <f t="shared" ref="D25:O25" si="0">SUM(D13,D14,D15,D16,D17,D18,D19,D20,D21,D22)</f>
        <v>0</v>
      </c>
      <c r="E25" s="27">
        <f t="shared" si="0"/>
        <v>0</v>
      </c>
      <c r="F25" s="27">
        <f t="shared" si="0"/>
        <v>0</v>
      </c>
      <c r="G25" s="27">
        <f t="shared" si="0"/>
        <v>0</v>
      </c>
      <c r="H25" s="27">
        <f t="shared" si="0"/>
        <v>0</v>
      </c>
      <c r="I25" s="27">
        <f t="shared" si="0"/>
        <v>0</v>
      </c>
      <c r="J25" s="27">
        <f t="shared" si="0"/>
        <v>0</v>
      </c>
      <c r="K25" s="27">
        <f t="shared" si="0"/>
        <v>0</v>
      </c>
      <c r="L25" s="27">
        <f t="shared" si="0"/>
        <v>0</v>
      </c>
      <c r="M25" s="27">
        <f t="shared" si="0"/>
        <v>0</v>
      </c>
      <c r="N25" s="27">
        <f t="shared" si="0"/>
        <v>0</v>
      </c>
      <c r="O25" s="27">
        <f t="shared" si="0"/>
        <v>0</v>
      </c>
      <c r="P25" s="24">
        <f>D24+E24+F24+G24+H24+I24+J24+K24+L24+M24+N24+O24</f>
        <v>0</v>
      </c>
    </row>
    <row r="26" spans="1:16" ht="19.5" customHeight="1" x14ac:dyDescent="0.25">
      <c r="A26" s="16" t="s">
        <v>304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6"/>
    </row>
    <row r="27" spans="1:16" ht="19.5" customHeight="1" x14ac:dyDescent="0.25">
      <c r="A27" s="17" t="s">
        <v>305</v>
      </c>
      <c r="B27" s="18" t="s">
        <v>306</v>
      </c>
      <c r="C27" s="17" t="s">
        <v>48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</row>
    <row r="28" spans="1:16" ht="19.5" customHeight="1" x14ac:dyDescent="0.25">
      <c r="A28" s="17" t="s">
        <v>307</v>
      </c>
      <c r="B28" s="18" t="s">
        <v>308</v>
      </c>
      <c r="C28" s="17" t="s">
        <v>48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spans="1:16" ht="19.5" customHeight="1" x14ac:dyDescent="0.25">
      <c r="A29" s="17" t="s">
        <v>309</v>
      </c>
      <c r="B29" s="18" t="s">
        <v>310</v>
      </c>
      <c r="C29" s="17" t="s">
        <v>48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spans="1:16" ht="19.5" customHeight="1" x14ac:dyDescent="0.25">
      <c r="A30" s="17" t="s">
        <v>311</v>
      </c>
      <c r="B30" s="18" t="s">
        <v>312</v>
      </c>
      <c r="C30" s="17" t="s">
        <v>48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1:16" ht="19.5" customHeight="1" x14ac:dyDescent="0.25">
      <c r="A31" s="17" t="s">
        <v>313</v>
      </c>
      <c r="B31" s="18" t="s">
        <v>314</v>
      </c>
      <c r="C31" s="17" t="s">
        <v>48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spans="1:16" ht="19.5" customHeight="1" x14ac:dyDescent="0.25">
      <c r="A32" s="17" t="s">
        <v>315</v>
      </c>
      <c r="B32" s="18" t="s">
        <v>316</v>
      </c>
      <c r="C32" s="17" t="s">
        <v>48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1:16" ht="19.5" customHeight="1" x14ac:dyDescent="0.25">
      <c r="A33" s="17" t="s">
        <v>317</v>
      </c>
      <c r="B33" s="18" t="s">
        <v>318</v>
      </c>
      <c r="C33" s="17" t="s">
        <v>48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1:16" ht="19.5" customHeight="1" x14ac:dyDescent="0.25">
      <c r="A34" s="20" t="s">
        <v>319</v>
      </c>
      <c r="B34" s="21" t="s">
        <v>320</v>
      </c>
      <c r="C34" s="17" t="s">
        <v>48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</row>
    <row r="35" spans="1:16" ht="19.5" customHeight="1" x14ac:dyDescent="0.25">
      <c r="A35" s="17" t="s">
        <v>321</v>
      </c>
      <c r="B35" s="18" t="s">
        <v>322</v>
      </c>
      <c r="C35" s="17" t="s">
        <v>48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spans="1:16" ht="21.75" customHeight="1" x14ac:dyDescent="0.25">
      <c r="A36" s="2" t="s">
        <v>323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6" ht="19.5" customHeight="1" x14ac:dyDescent="0.25">
      <c r="A37" s="20" t="s">
        <v>324</v>
      </c>
      <c r="B37" s="21" t="s">
        <v>325</v>
      </c>
      <c r="C37" s="17" t="s">
        <v>48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</row>
    <row r="38" spans="1:16" ht="19.5" customHeight="1" x14ac:dyDescent="0.25">
      <c r="A38" s="23" t="s">
        <v>57</v>
      </c>
      <c r="B38" s="27" t="s">
        <v>326</v>
      </c>
      <c r="C38" s="27" t="s">
        <v>48</v>
      </c>
      <c r="D38" s="27">
        <f t="shared" ref="D38:O38" si="1">SUM(D25,D26,D27,D28,D29,D30,D31,D33,D34)</f>
        <v>0</v>
      </c>
      <c r="E38" s="27">
        <f t="shared" si="1"/>
        <v>0</v>
      </c>
      <c r="F38" s="27">
        <f t="shared" si="1"/>
        <v>0</v>
      </c>
      <c r="G38" s="27">
        <f t="shared" si="1"/>
        <v>0</v>
      </c>
      <c r="H38" s="27">
        <f t="shared" si="1"/>
        <v>0</v>
      </c>
      <c r="I38" s="27">
        <f t="shared" si="1"/>
        <v>0</v>
      </c>
      <c r="J38" s="27">
        <f t="shared" si="1"/>
        <v>0</v>
      </c>
      <c r="K38" s="27">
        <f t="shared" si="1"/>
        <v>0</v>
      </c>
      <c r="L38" s="27">
        <f t="shared" si="1"/>
        <v>0</v>
      </c>
      <c r="M38" s="27">
        <f t="shared" si="1"/>
        <v>0</v>
      </c>
      <c r="N38" s="27">
        <f t="shared" si="1"/>
        <v>0</v>
      </c>
      <c r="O38" s="27">
        <f t="shared" si="1"/>
        <v>0</v>
      </c>
      <c r="P38" s="24">
        <f>D36+E36+F36+G36+H36+I36+J36+K36+L36+M36+N36+O36</f>
        <v>0</v>
      </c>
    </row>
    <row r="39" spans="1:16" ht="19.5" customHeight="1" x14ac:dyDescent="0.25">
      <c r="A39" s="16" t="s">
        <v>327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6"/>
    </row>
    <row r="40" spans="1:16" ht="19.5" customHeight="1" x14ac:dyDescent="0.25">
      <c r="A40" s="17" t="s">
        <v>328</v>
      </c>
      <c r="B40" s="18" t="s">
        <v>329</v>
      </c>
      <c r="C40" s="17" t="s">
        <v>48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spans="1:16" ht="15" customHeight="1" x14ac:dyDescent="0.25">
      <c r="A41" s="17" t="s">
        <v>330</v>
      </c>
      <c r="B41" s="18" t="s">
        <v>331</v>
      </c>
      <c r="C41" s="17" t="s">
        <v>48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</row>
    <row r="42" spans="1:16" ht="15" customHeight="1" x14ac:dyDescent="0.25">
      <c r="A42" s="17" t="s">
        <v>332</v>
      </c>
      <c r="B42" s="18" t="s">
        <v>333</v>
      </c>
      <c r="C42" s="17" t="s">
        <v>48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spans="1:16" ht="15" customHeight="1" x14ac:dyDescent="0.25">
      <c r="A43" s="17" t="s">
        <v>334</v>
      </c>
      <c r="B43" s="18" t="s">
        <v>335</v>
      </c>
      <c r="C43" s="17" t="s">
        <v>48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</row>
    <row r="44" spans="1:16" ht="15" customHeight="1" x14ac:dyDescent="0.25">
      <c r="A44" s="23" t="s">
        <v>57</v>
      </c>
      <c r="B44" s="27" t="s">
        <v>336</v>
      </c>
      <c r="C44" s="27" t="s">
        <v>48</v>
      </c>
      <c r="D44" s="27">
        <f t="shared" ref="D44:O44" si="2">SUM(D37,D38,D39,D40)</f>
        <v>0</v>
      </c>
      <c r="E44" s="27">
        <f t="shared" si="2"/>
        <v>0</v>
      </c>
      <c r="F44" s="27">
        <f t="shared" si="2"/>
        <v>0</v>
      </c>
      <c r="G44" s="27">
        <f t="shared" si="2"/>
        <v>0</v>
      </c>
      <c r="H44" s="27">
        <f t="shared" si="2"/>
        <v>0</v>
      </c>
      <c r="I44" s="27">
        <f t="shared" si="2"/>
        <v>0</v>
      </c>
      <c r="J44" s="27">
        <f t="shared" si="2"/>
        <v>0</v>
      </c>
      <c r="K44" s="27">
        <f t="shared" si="2"/>
        <v>0</v>
      </c>
      <c r="L44" s="27">
        <f t="shared" si="2"/>
        <v>0</v>
      </c>
      <c r="M44" s="27">
        <f t="shared" si="2"/>
        <v>0</v>
      </c>
      <c r="N44" s="27">
        <f t="shared" si="2"/>
        <v>0</v>
      </c>
      <c r="O44" s="27">
        <f t="shared" si="2"/>
        <v>0</v>
      </c>
      <c r="P44" s="24">
        <f>D41+E41+F41+G41+H41+I41+J41+K41+L41+M41+N41+O41</f>
        <v>0</v>
      </c>
    </row>
    <row r="45" spans="1:16" x14ac:dyDescent="0.25">
      <c r="A45" s="29" t="s">
        <v>57</v>
      </c>
      <c r="B45" s="24" t="s">
        <v>337</v>
      </c>
      <c r="C45" s="24" t="s">
        <v>48</v>
      </c>
      <c r="P45" s="24">
        <f>(D6+E6+F6+G6+H6+I6+J6+K6+L6+M6+N6+O6)+(D7+E7+F7+G7+H7+I7+J7+K7+L7+M7+N7+O7)+(D8+E8+F8+G8+H8+I8+J8+K8+L8+M8+N8+O8)+(D9+E9+F9+G9+H9+I9+J9+K9+L9+M9+N9+O9)+(D10+E10+F10+G10+H10+I10+J10+K10+L10+M10+N10+O10)</f>
        <v>0</v>
      </c>
    </row>
    <row r="46" spans="1:16" x14ac:dyDescent="0.25">
      <c r="A46" s="29" t="s">
        <v>57</v>
      </c>
      <c r="B46" s="24" t="s">
        <v>338</v>
      </c>
      <c r="C46" s="24" t="s">
        <v>48</v>
      </c>
      <c r="P46" s="24">
        <f>(D13+E13+F13+G13+H13+I13+J13+K13+L13+M13+N13+O13)+(D14+E14+F14+G14+H14+I14+J14+K14+L14+M14+N14+O14)+(D15+E15+F15+G15+H15+I15+J15+K15+L15+M15+N15+O15)+(D16+E16+F16+G16+H16+I16+J16+K16+L16+M16+N16+O16)+(D17+E17+F17+G17+H17+I17+J17+K17+L17+M17+N17+O17)+(D18+E18+F18+G18+H18+I18+J18+K18+L18+M18+N18+O18)+(D19+E19+F19+G19+H19+I19+J19+K19+L19+M19+N19+O19)+(D20+E20+F20+G20+H20+I20+J20+K20+L20+M20+N20+O20)+(D21+E21+F21+G21+H21+I21+J21+K21+L21+M21+N21+O21)+(D22+E22+F22+G22+H22+I22+J22+K22+L22+M22+N22+O22)</f>
        <v>0</v>
      </c>
    </row>
    <row r="47" spans="1:16" x14ac:dyDescent="0.25">
      <c r="A47" s="29" t="s">
        <v>57</v>
      </c>
      <c r="B47" s="24" t="s">
        <v>339</v>
      </c>
      <c r="C47" s="24" t="s">
        <v>48</v>
      </c>
      <c r="P47" s="24">
        <f>(D25+E25+F25+G25+H25+I25+J25+K25+L25+M25+N25+O25)+(D26+E26+F26+G26+H26+I26+J26+K26+L26+M26+N26+O26)+(D27+E27+F27+G27+H27+I27+J27+K27+L27+M27+N27+O27)+(D28+E28+F28+G28+H28+I28+J28+K28+L28+M28+N28+O28)+(D29+E29+F29+G29+H29+I29+J29+K29+L29+M29+N29+O29)+(D30+E30+F30+G30+H30+I30+J30+K30+L30+M30+N30+O30)+(D31+E31+F31+G31+H31+I31+J31+K31+L31+M31+N31+O31)+(D33+E33+F33+G33+H33+I33+J33+K33+L33+M33+N33+O33)+(D34+E34+F34+G34+H34+I34+J34+K34+L34+M34+N34+O34)</f>
        <v>0</v>
      </c>
    </row>
    <row r="48" spans="1:16" x14ac:dyDescent="0.25">
      <c r="A48" s="29" t="s">
        <v>57</v>
      </c>
      <c r="B48" s="24" t="s">
        <v>340</v>
      </c>
      <c r="C48" s="24" t="s">
        <v>48</v>
      </c>
      <c r="P48" s="24">
        <f>(D37+E37+F37+G37+H37+I37+J37+K37+L37+M37+N37+O37)+(D38+E38+F38+G38+H38+I38+J38+K38+L38+M38+N38+O38)+(D39+E39+F39+G39+H39+I39+J39+K39+L39+M39+N39+O39)+(D40+E40+F40+G40+H40+I40+J40+K40+L40+M40+N40+O40)</f>
        <v>0</v>
      </c>
    </row>
  </sheetData>
  <mergeCells count="6">
    <mergeCell ref="A36:O36"/>
    <mergeCell ref="A1:O1"/>
    <mergeCell ref="A2:O2"/>
    <mergeCell ref="A5:O5"/>
    <mergeCell ref="A12:O12"/>
    <mergeCell ref="A24:O2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38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7109375" defaultRowHeight="15" x14ac:dyDescent="0.25"/>
  <cols>
    <col min="1" max="1" width="8" customWidth="1"/>
    <col min="2" max="2" width="45" customWidth="1"/>
    <col min="3" max="3" width="10" customWidth="1"/>
    <col min="4" max="15" width="14" customWidth="1"/>
    <col min="16" max="16" width="16" customWidth="1"/>
  </cols>
  <sheetData>
    <row r="1" spans="1:16" ht="30" customHeight="1" x14ac:dyDescent="0.25">
      <c r="A1" s="7" t="s">
        <v>341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6" ht="19.5" customHeight="1" x14ac:dyDescent="0.25">
      <c r="A2" s="6" t="s">
        <v>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spans="1:16" ht="24.75" customHeight="1" x14ac:dyDescent="0.25">
      <c r="A4" s="14" t="s">
        <v>29</v>
      </c>
      <c r="B4" s="14" t="s">
        <v>30</v>
      </c>
      <c r="C4" s="14" t="s">
        <v>31</v>
      </c>
      <c r="D4" s="14" t="s">
        <v>32</v>
      </c>
      <c r="E4" s="14" t="s">
        <v>33</v>
      </c>
      <c r="F4" s="14" t="s">
        <v>34</v>
      </c>
      <c r="G4" s="14" t="s">
        <v>35</v>
      </c>
      <c r="H4" s="14" t="s">
        <v>36</v>
      </c>
      <c r="I4" s="14" t="s">
        <v>37</v>
      </c>
      <c r="J4" s="14" t="s">
        <v>38</v>
      </c>
      <c r="K4" s="14" t="s">
        <v>39</v>
      </c>
      <c r="L4" s="14" t="s">
        <v>40</v>
      </c>
      <c r="M4" s="14" t="s">
        <v>41</v>
      </c>
      <c r="N4" s="14" t="s">
        <v>42</v>
      </c>
      <c r="O4" s="14" t="s">
        <v>43</v>
      </c>
      <c r="P4" s="15" t="s">
        <v>44</v>
      </c>
    </row>
    <row r="5" spans="1:16" ht="21.75" customHeight="1" x14ac:dyDescent="0.25">
      <c r="A5" s="5" t="s">
        <v>342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6" ht="19.5" customHeight="1" x14ac:dyDescent="0.25">
      <c r="A6" s="17" t="s">
        <v>343</v>
      </c>
      <c r="B6" s="18" t="s">
        <v>344</v>
      </c>
      <c r="C6" s="17" t="s">
        <v>226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6" ht="19.5" customHeight="1" x14ac:dyDescent="0.25">
      <c r="A7" s="17" t="s">
        <v>345</v>
      </c>
      <c r="B7" s="18" t="s">
        <v>346</v>
      </c>
      <c r="C7" s="17" t="s">
        <v>226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1:16" ht="19.5" customHeight="1" x14ac:dyDescent="0.25">
      <c r="A8" s="17" t="s">
        <v>347</v>
      </c>
      <c r="B8" s="18" t="s">
        <v>348</v>
      </c>
      <c r="C8" s="17" t="s">
        <v>226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1:16" ht="19.5" customHeight="1" x14ac:dyDescent="0.25">
      <c r="A9" s="17" t="s">
        <v>349</v>
      </c>
      <c r="B9" s="18" t="s">
        <v>350</v>
      </c>
      <c r="C9" s="17" t="s">
        <v>226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1:16" ht="19.5" customHeight="1" x14ac:dyDescent="0.25">
      <c r="A10" s="17" t="s">
        <v>351</v>
      </c>
      <c r="B10" s="18" t="s">
        <v>352</v>
      </c>
      <c r="C10" s="17" t="s">
        <v>353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</row>
    <row r="11" spans="1:16" ht="21.75" customHeight="1" x14ac:dyDescent="0.25">
      <c r="A11" s="4" t="s">
        <v>57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24">
        <f>D11+E11+F11+G11+H11+I11+J11+K11+L11+M11+N11+O11</f>
        <v>0</v>
      </c>
    </row>
    <row r="12" spans="1:16" ht="19.5" customHeight="1" x14ac:dyDescent="0.25">
      <c r="A12" s="16" t="s">
        <v>354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6"/>
    </row>
    <row r="13" spans="1:16" ht="19.5" customHeight="1" x14ac:dyDescent="0.25">
      <c r="A13" s="17" t="s">
        <v>355</v>
      </c>
      <c r="B13" s="18" t="s">
        <v>356</v>
      </c>
      <c r="C13" s="17" t="s">
        <v>226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1:16" ht="19.5" customHeight="1" x14ac:dyDescent="0.25">
      <c r="A14" s="17" t="s">
        <v>357</v>
      </c>
      <c r="B14" s="18" t="s">
        <v>358</v>
      </c>
      <c r="C14" s="17" t="s">
        <v>226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1:16" ht="19.5" customHeight="1" x14ac:dyDescent="0.25">
      <c r="A15" s="17" t="s">
        <v>359</v>
      </c>
      <c r="B15" s="18" t="s">
        <v>360</v>
      </c>
      <c r="C15" s="17" t="s">
        <v>226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1:16" ht="19.5" customHeight="1" x14ac:dyDescent="0.25">
      <c r="A16" s="17" t="s">
        <v>361</v>
      </c>
      <c r="B16" s="18" t="s">
        <v>362</v>
      </c>
      <c r="C16" s="17" t="s">
        <v>226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</row>
    <row r="17" spans="1:16" ht="19.5" customHeight="1" x14ac:dyDescent="0.25">
      <c r="A17" s="17" t="s">
        <v>363</v>
      </c>
      <c r="B17" s="18" t="s">
        <v>364</v>
      </c>
      <c r="C17" s="17" t="s">
        <v>226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</row>
    <row r="18" spans="1:16" ht="21.75" customHeight="1" x14ac:dyDescent="0.25">
      <c r="A18" s="3" t="s">
        <v>365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6" ht="19.5" customHeight="1" x14ac:dyDescent="0.25">
      <c r="A19" s="23" t="s">
        <v>57</v>
      </c>
      <c r="B19" s="27" t="s">
        <v>366</v>
      </c>
      <c r="C19" s="27" t="s">
        <v>226</v>
      </c>
      <c r="D19" s="27">
        <f t="shared" ref="D19:O19" si="0">SUM(D12,D13,D14,D15,D16)</f>
        <v>0</v>
      </c>
      <c r="E19" s="27">
        <f t="shared" si="0"/>
        <v>0</v>
      </c>
      <c r="F19" s="27">
        <f t="shared" si="0"/>
        <v>0</v>
      </c>
      <c r="G19" s="27">
        <f t="shared" si="0"/>
        <v>0</v>
      </c>
      <c r="H19" s="27">
        <f t="shared" si="0"/>
        <v>0</v>
      </c>
      <c r="I19" s="27">
        <f t="shared" si="0"/>
        <v>0</v>
      </c>
      <c r="J19" s="27">
        <f t="shared" si="0"/>
        <v>0</v>
      </c>
      <c r="K19" s="27">
        <f t="shared" si="0"/>
        <v>0</v>
      </c>
      <c r="L19" s="27">
        <f t="shared" si="0"/>
        <v>0</v>
      </c>
      <c r="M19" s="27">
        <f t="shared" si="0"/>
        <v>0</v>
      </c>
      <c r="N19" s="27">
        <f t="shared" si="0"/>
        <v>0</v>
      </c>
      <c r="O19" s="27">
        <f t="shared" si="0"/>
        <v>0</v>
      </c>
      <c r="P19" s="24">
        <f>D18+E18+F18+G18+H18+I18+J18+K18+L18+M18+N18+O18</f>
        <v>0</v>
      </c>
    </row>
    <row r="20" spans="1:16" ht="19.5" customHeight="1" x14ac:dyDescent="0.25">
      <c r="A20" s="16" t="s">
        <v>367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6"/>
    </row>
    <row r="21" spans="1:16" ht="19.5" customHeight="1" x14ac:dyDescent="0.25">
      <c r="A21" s="17" t="s">
        <v>368</v>
      </c>
      <c r="B21" s="18" t="s">
        <v>369</v>
      </c>
      <c r="C21" s="17" t="s">
        <v>48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6" ht="19.5" customHeight="1" x14ac:dyDescent="0.25">
      <c r="A22" s="17" t="s">
        <v>370</v>
      </c>
      <c r="B22" s="18" t="s">
        <v>371</v>
      </c>
      <c r="C22" s="17" t="s">
        <v>48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16" ht="19.5" customHeight="1" x14ac:dyDescent="0.25">
      <c r="A23" s="17" t="s">
        <v>372</v>
      </c>
      <c r="B23" s="18" t="s">
        <v>373</v>
      </c>
      <c r="C23" s="17" t="s">
        <v>48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16" ht="19.5" customHeight="1" x14ac:dyDescent="0.25">
      <c r="A24" s="17" t="s">
        <v>374</v>
      </c>
      <c r="B24" s="18" t="s">
        <v>375</v>
      </c>
      <c r="C24" s="17" t="s">
        <v>48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1:16" ht="21.75" customHeight="1" x14ac:dyDescent="0.25">
      <c r="A25" s="2" t="s">
        <v>376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6" ht="19.5" customHeight="1" x14ac:dyDescent="0.25">
      <c r="A26" s="20" t="s">
        <v>377</v>
      </c>
      <c r="B26" s="21" t="s">
        <v>378</v>
      </c>
      <c r="C26" s="17" t="s">
        <v>48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</row>
    <row r="27" spans="1:16" ht="19.5" customHeight="1" x14ac:dyDescent="0.25">
      <c r="A27" s="23" t="s">
        <v>57</v>
      </c>
      <c r="B27" s="27" t="s">
        <v>379</v>
      </c>
      <c r="C27" s="27" t="s">
        <v>48</v>
      </c>
      <c r="D27" s="27">
        <f t="shared" ref="D27:O27" si="1">SUM(D19,D20,D21,D22,D23)</f>
        <v>0</v>
      </c>
      <c r="E27" s="27">
        <f t="shared" si="1"/>
        <v>0</v>
      </c>
      <c r="F27" s="27">
        <f t="shared" si="1"/>
        <v>0</v>
      </c>
      <c r="G27" s="27">
        <f t="shared" si="1"/>
        <v>0</v>
      </c>
      <c r="H27" s="27">
        <f t="shared" si="1"/>
        <v>0</v>
      </c>
      <c r="I27" s="27">
        <f t="shared" si="1"/>
        <v>0</v>
      </c>
      <c r="J27" s="27">
        <f t="shared" si="1"/>
        <v>0</v>
      </c>
      <c r="K27" s="27">
        <f t="shared" si="1"/>
        <v>0</v>
      </c>
      <c r="L27" s="27">
        <f t="shared" si="1"/>
        <v>0</v>
      </c>
      <c r="M27" s="27">
        <f t="shared" si="1"/>
        <v>0</v>
      </c>
      <c r="N27" s="27">
        <f t="shared" si="1"/>
        <v>0</v>
      </c>
      <c r="O27" s="27">
        <f t="shared" si="1"/>
        <v>0</v>
      </c>
      <c r="P27" s="24">
        <f>D25+E25+F25+G25+H25+I25+J25+K25+L25+M25+N25+O25</f>
        <v>0</v>
      </c>
    </row>
    <row r="28" spans="1:16" ht="15" customHeight="1" x14ac:dyDescent="0.25">
      <c r="A28" s="16" t="s">
        <v>380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6"/>
    </row>
    <row r="29" spans="1:16" ht="15" customHeight="1" x14ac:dyDescent="0.25">
      <c r="A29" s="17" t="s">
        <v>381</v>
      </c>
      <c r="B29" s="18" t="s">
        <v>382</v>
      </c>
      <c r="C29" s="17" t="s">
        <v>48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spans="1:16" ht="15" customHeight="1" x14ac:dyDescent="0.25">
      <c r="A30" s="17" t="s">
        <v>383</v>
      </c>
      <c r="B30" s="18" t="s">
        <v>384</v>
      </c>
      <c r="C30" s="17" t="s">
        <v>48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1:16" ht="15" customHeight="1" x14ac:dyDescent="0.25">
      <c r="A31" s="23" t="s">
        <v>57</v>
      </c>
      <c r="B31" s="27" t="s">
        <v>385</v>
      </c>
      <c r="C31" s="27" t="s">
        <v>48</v>
      </c>
      <c r="D31" s="27">
        <f t="shared" ref="D31:O31" si="2">SUM(D26,D27)</f>
        <v>0</v>
      </c>
      <c r="E31" s="27">
        <f t="shared" si="2"/>
        <v>0</v>
      </c>
      <c r="F31" s="27">
        <f t="shared" si="2"/>
        <v>0</v>
      </c>
      <c r="G31" s="27">
        <f t="shared" si="2"/>
        <v>0</v>
      </c>
      <c r="H31" s="27">
        <f t="shared" si="2"/>
        <v>0</v>
      </c>
      <c r="I31" s="27">
        <f t="shared" si="2"/>
        <v>0</v>
      </c>
      <c r="J31" s="27">
        <f t="shared" si="2"/>
        <v>0</v>
      </c>
      <c r="K31" s="27">
        <f t="shared" si="2"/>
        <v>0</v>
      </c>
      <c r="L31" s="27">
        <f t="shared" si="2"/>
        <v>0</v>
      </c>
      <c r="M31" s="27">
        <f t="shared" si="2"/>
        <v>0</v>
      </c>
      <c r="N31" s="27">
        <f t="shared" si="2"/>
        <v>0</v>
      </c>
      <c r="O31" s="27">
        <f t="shared" si="2"/>
        <v>0</v>
      </c>
      <c r="P31" s="24">
        <f>D28+E28+F28+G28+H28+I28+J28+K28+L28+M28+N28+O28</f>
        <v>0</v>
      </c>
    </row>
    <row r="32" spans="1:16" ht="15" customHeight="1" x14ac:dyDescent="0.25">
      <c r="A32" s="29" t="s">
        <v>57</v>
      </c>
      <c r="B32" s="24" t="s">
        <v>386</v>
      </c>
      <c r="C32" s="24" t="s">
        <v>226</v>
      </c>
      <c r="P32" s="24">
        <f>(D6+E6+F6+G6+H6+I6+J6+K6+L6+M6+N6+O6)</f>
        <v>0</v>
      </c>
    </row>
    <row r="33" spans="1:16" ht="15" customHeight="1" x14ac:dyDescent="0.25">
      <c r="A33" s="29" t="s">
        <v>57</v>
      </c>
      <c r="B33" s="24" t="s">
        <v>387</v>
      </c>
      <c r="C33" s="24" t="s">
        <v>226</v>
      </c>
      <c r="P33" s="24">
        <f>(D8+E8+F8+G8+H8+I8+J8+K8+L8+M8+N8+O8)</f>
        <v>0</v>
      </c>
    </row>
    <row r="34" spans="1:16" ht="15" customHeight="1" x14ac:dyDescent="0.25">
      <c r="A34" s="29" t="s">
        <v>57</v>
      </c>
      <c r="B34" s="24" t="s">
        <v>388</v>
      </c>
      <c r="C34" s="24" t="s">
        <v>226</v>
      </c>
      <c r="P34" s="24">
        <f>(D9+E9+F9+G9+H9+I9+J9+K9+L9+M9+N9+O9)</f>
        <v>0</v>
      </c>
    </row>
    <row r="35" spans="1:16" x14ac:dyDescent="0.25">
      <c r="A35" s="29" t="s">
        <v>57</v>
      </c>
      <c r="B35" s="24" t="s">
        <v>389</v>
      </c>
      <c r="C35" s="24" t="s">
        <v>226</v>
      </c>
      <c r="P35" s="24">
        <f>(D12+E12+F12+G12+H12+I12+J12+K12+L12+M12+N12+O12)+(D13+E13+F13+G13+H13+I13+J13+K13+L13+M13+N13+O13)+(D14+E14+F14+G14+H14+I14+J14+K14+L14+M14+N14+O14)+(D15+E15+F15+G15+H15+I15+J15+K15+L15+M15+N15+O15)+(D16+E16+F16+G16+H16+I16+J16+K16+L16+M16+N16+O16)</f>
        <v>0</v>
      </c>
    </row>
    <row r="36" spans="1:16" x14ac:dyDescent="0.25">
      <c r="A36" s="29" t="s">
        <v>57</v>
      </c>
      <c r="B36" s="24" t="s">
        <v>390</v>
      </c>
      <c r="C36" s="24" t="s">
        <v>48</v>
      </c>
      <c r="P36" s="24">
        <f>(D19+E19+F19+G19+H19+I19+J19+K19+L19+M19+N19+O19)+(D20+E20+F20+G20+H20+I20+J20+K20+L20+M20+N20+O20)+(D21+E21+F21+G21+H21+I21+J21+K21+L21+M21+N21+O21)+(D22+E22+F22+G22+H22+I22+J22+K22+L22+M22+N22+O22)+(D23+E23+F23+G23+H23+I23+J23+K23+L23+M23+N23+O23)</f>
        <v>0</v>
      </c>
    </row>
    <row r="37" spans="1:16" x14ac:dyDescent="0.25">
      <c r="A37" s="29" t="s">
        <v>57</v>
      </c>
      <c r="B37" s="24" t="s">
        <v>391</v>
      </c>
      <c r="C37" s="24" t="s">
        <v>48</v>
      </c>
      <c r="P37" s="24">
        <f>(D26+E26+F26+G26+H26+I26+J26+K26+L26+M26+N26+O26)</f>
        <v>0</v>
      </c>
    </row>
    <row r="38" spans="1:16" x14ac:dyDescent="0.25">
      <c r="A38" s="29" t="s">
        <v>57</v>
      </c>
      <c r="B38" s="24" t="s">
        <v>392</v>
      </c>
      <c r="C38" s="24" t="s">
        <v>48</v>
      </c>
      <c r="P38" s="24">
        <f>(D27+E27+F27+G27+H27+I27+J27+K27+L27+M27+N27+O27)</f>
        <v>0</v>
      </c>
    </row>
  </sheetData>
  <mergeCells count="6">
    <mergeCell ref="A25:O25"/>
    <mergeCell ref="A1:O1"/>
    <mergeCell ref="A2:O2"/>
    <mergeCell ref="A5:O5"/>
    <mergeCell ref="A11:O11"/>
    <mergeCell ref="A18:O1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40"/>
  <sheetViews>
    <sheetView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44" sqref="B44"/>
    </sheetView>
  </sheetViews>
  <sheetFormatPr defaultColWidth="8.7109375" defaultRowHeight="15" x14ac:dyDescent="0.25"/>
  <cols>
    <col min="1" max="1" width="8" customWidth="1"/>
    <col min="2" max="2" width="45" customWidth="1"/>
    <col min="3" max="3" width="10" customWidth="1"/>
    <col min="4" max="15" width="14" customWidth="1"/>
    <col min="16" max="16" width="16" customWidth="1"/>
  </cols>
  <sheetData>
    <row r="1" spans="1:16" ht="30" customHeight="1" x14ac:dyDescent="0.25">
      <c r="A1" s="7" t="s">
        <v>393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6" ht="19.5" customHeight="1" x14ac:dyDescent="0.25">
      <c r="A2" s="6" t="s">
        <v>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spans="1:16" ht="24.75" customHeight="1" x14ac:dyDescent="0.25">
      <c r="A4" s="14" t="s">
        <v>29</v>
      </c>
      <c r="B4" s="14" t="s">
        <v>30</v>
      </c>
      <c r="C4" s="14" t="s">
        <v>31</v>
      </c>
      <c r="D4" s="14" t="s">
        <v>32</v>
      </c>
      <c r="E4" s="14" t="s">
        <v>33</v>
      </c>
      <c r="F4" s="14" t="s">
        <v>34</v>
      </c>
      <c r="G4" s="14" t="s">
        <v>35</v>
      </c>
      <c r="H4" s="14" t="s">
        <v>36</v>
      </c>
      <c r="I4" s="14" t="s">
        <v>37</v>
      </c>
      <c r="J4" s="14" t="s">
        <v>38</v>
      </c>
      <c r="K4" s="14" t="s">
        <v>39</v>
      </c>
      <c r="L4" s="14" t="s">
        <v>40</v>
      </c>
      <c r="M4" s="14" t="s">
        <v>41</v>
      </c>
      <c r="N4" s="14" t="s">
        <v>42</v>
      </c>
      <c r="O4" s="14" t="s">
        <v>43</v>
      </c>
      <c r="P4" s="15" t="s">
        <v>44</v>
      </c>
    </row>
    <row r="5" spans="1:16" ht="21.75" customHeight="1" x14ac:dyDescent="0.25">
      <c r="A5" s="5" t="s">
        <v>394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6" ht="19.5" customHeight="1" x14ac:dyDescent="0.25">
      <c r="A6" s="17" t="s">
        <v>395</v>
      </c>
      <c r="B6" s="18" t="s">
        <v>396</v>
      </c>
      <c r="C6" s="17" t="s">
        <v>226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6" ht="19.5" customHeight="1" x14ac:dyDescent="0.25">
      <c r="A7" s="17" t="s">
        <v>397</v>
      </c>
      <c r="B7" s="18" t="s">
        <v>398</v>
      </c>
      <c r="C7" s="17" t="s">
        <v>226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1:16" ht="19.5" customHeight="1" x14ac:dyDescent="0.25">
      <c r="A8" s="17" t="s">
        <v>399</v>
      </c>
      <c r="B8" s="18" t="s">
        <v>400</v>
      </c>
      <c r="C8" s="17" t="s">
        <v>226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1:16" ht="19.5" customHeight="1" x14ac:dyDescent="0.25">
      <c r="A9" s="20" t="s">
        <v>401</v>
      </c>
      <c r="B9" s="21" t="s">
        <v>529</v>
      </c>
      <c r="C9" s="17" t="s">
        <v>226</v>
      </c>
      <c r="D9" s="31">
        <f t="shared" ref="D9:O9" si="0">SUM(D6,D7,D8)</f>
        <v>0</v>
      </c>
      <c r="E9" s="31">
        <f t="shared" si="0"/>
        <v>0</v>
      </c>
      <c r="F9" s="31">
        <f t="shared" si="0"/>
        <v>0</v>
      </c>
      <c r="G9" s="31">
        <f t="shared" si="0"/>
        <v>0</v>
      </c>
      <c r="H9" s="31">
        <f t="shared" si="0"/>
        <v>0</v>
      </c>
      <c r="I9" s="31">
        <f t="shared" si="0"/>
        <v>0</v>
      </c>
      <c r="J9" s="31">
        <f t="shared" si="0"/>
        <v>0</v>
      </c>
      <c r="K9" s="31">
        <f t="shared" si="0"/>
        <v>0</v>
      </c>
      <c r="L9" s="31">
        <f t="shared" si="0"/>
        <v>0</v>
      </c>
      <c r="M9" s="31">
        <f t="shared" si="0"/>
        <v>0</v>
      </c>
      <c r="N9" s="31">
        <f t="shared" si="0"/>
        <v>0</v>
      </c>
      <c r="O9" s="31">
        <f t="shared" si="0"/>
        <v>0</v>
      </c>
    </row>
    <row r="10" spans="1:16" ht="21.75" customHeight="1" x14ac:dyDescent="0.25">
      <c r="A10" s="23" t="s">
        <v>57</v>
      </c>
      <c r="B10" s="27" t="s">
        <v>402</v>
      </c>
      <c r="C10" s="27" t="s">
        <v>226</v>
      </c>
      <c r="D10" s="27">
        <f t="shared" ref="D10:O10" si="1">SUM(D6,D7,D8)</f>
        <v>0</v>
      </c>
      <c r="E10" s="27">
        <f t="shared" si="1"/>
        <v>0</v>
      </c>
      <c r="F10" s="27">
        <f t="shared" si="1"/>
        <v>0</v>
      </c>
      <c r="G10" s="27">
        <f t="shared" si="1"/>
        <v>0</v>
      </c>
      <c r="H10" s="27">
        <f t="shared" si="1"/>
        <v>0</v>
      </c>
      <c r="I10" s="27">
        <f t="shared" si="1"/>
        <v>0</v>
      </c>
      <c r="J10" s="27">
        <f t="shared" si="1"/>
        <v>0</v>
      </c>
      <c r="K10" s="27">
        <f t="shared" si="1"/>
        <v>0</v>
      </c>
      <c r="L10" s="27">
        <f t="shared" si="1"/>
        <v>0</v>
      </c>
      <c r="M10" s="27">
        <f t="shared" si="1"/>
        <v>0</v>
      </c>
      <c r="N10" s="27">
        <f t="shared" si="1"/>
        <v>0</v>
      </c>
      <c r="O10" s="27">
        <f t="shared" si="1"/>
        <v>0</v>
      </c>
      <c r="P10" s="24">
        <f>D10+E10+F10+G10+H10+I10+J10+K10+L10+M10+N10+O10</f>
        <v>0</v>
      </c>
    </row>
    <row r="11" spans="1:16" ht="19.5" customHeight="1" x14ac:dyDescent="0.25">
      <c r="A11" s="1" t="s">
        <v>57</v>
      </c>
      <c r="B11" s="1" t="s">
        <v>403</v>
      </c>
      <c r="C11" s="1" t="s">
        <v>226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4">
        <f>(D6+E6+F6+G6+H6+I6+J6+K6+L6+M6+N6+O6)+(D7+E7+F7+G7+H7+I7+J7+K7+L7+M7+N7+O7)+(D8+E8+F8+G8+H8+I8+J8+K8+L8+M8+N8+O8)</f>
        <v>0</v>
      </c>
    </row>
    <row r="12" spans="1:16" ht="19.5" customHeight="1" x14ac:dyDescent="0.25">
      <c r="A12" s="32" t="s">
        <v>404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6"/>
    </row>
    <row r="13" spans="1:16" ht="19.5" customHeight="1" x14ac:dyDescent="0.25">
      <c r="A13" s="17" t="s">
        <v>405</v>
      </c>
      <c r="B13" s="18" t="s">
        <v>406</v>
      </c>
      <c r="C13" s="17" t="s">
        <v>226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1:16" ht="19.5" customHeight="1" x14ac:dyDescent="0.25">
      <c r="A14" s="17" t="s">
        <v>407</v>
      </c>
      <c r="B14" s="18" t="s">
        <v>408</v>
      </c>
      <c r="C14" s="17" t="s">
        <v>226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1:16" ht="21.75" customHeight="1" x14ac:dyDescent="0.25">
      <c r="A15" s="17" t="s">
        <v>409</v>
      </c>
      <c r="B15" s="18" t="s">
        <v>400</v>
      </c>
      <c r="C15" s="17" t="s">
        <v>226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1:16" ht="19.5" customHeight="1" x14ac:dyDescent="0.25">
      <c r="A16" s="33" t="s">
        <v>410</v>
      </c>
      <c r="B16" s="34" t="s">
        <v>530</v>
      </c>
      <c r="C16" s="34" t="s">
        <v>226</v>
      </c>
      <c r="D16" s="34">
        <f t="shared" ref="D16:O16" si="2">SUM(D12,D13,D14)</f>
        <v>0</v>
      </c>
      <c r="E16" s="34">
        <f t="shared" si="2"/>
        <v>0</v>
      </c>
      <c r="F16" s="34">
        <f t="shared" si="2"/>
        <v>0</v>
      </c>
      <c r="G16" s="34">
        <f t="shared" si="2"/>
        <v>0</v>
      </c>
      <c r="H16" s="34">
        <f t="shared" si="2"/>
        <v>0</v>
      </c>
      <c r="I16" s="34">
        <f t="shared" si="2"/>
        <v>0</v>
      </c>
      <c r="J16" s="34">
        <f t="shared" si="2"/>
        <v>0</v>
      </c>
      <c r="K16" s="34">
        <f t="shared" si="2"/>
        <v>0</v>
      </c>
      <c r="L16" s="34">
        <f t="shared" si="2"/>
        <v>0</v>
      </c>
      <c r="M16" s="34">
        <f t="shared" si="2"/>
        <v>0</v>
      </c>
      <c r="N16" s="34">
        <f t="shared" si="2"/>
        <v>0</v>
      </c>
      <c r="O16" s="34">
        <f t="shared" si="2"/>
        <v>0</v>
      </c>
    </row>
    <row r="17" spans="1:16" ht="19.5" customHeight="1" x14ac:dyDescent="0.25">
      <c r="A17" s="4" t="s">
        <v>57</v>
      </c>
      <c r="B17" s="4" t="s">
        <v>411</v>
      </c>
      <c r="C17" s="4" t="s">
        <v>226</v>
      </c>
      <c r="D17" s="4">
        <f t="shared" ref="D17:O17" si="3">SUM(D12,D13,D14)</f>
        <v>0</v>
      </c>
      <c r="E17" s="4">
        <f t="shared" si="3"/>
        <v>0</v>
      </c>
      <c r="F17" s="4">
        <f t="shared" si="3"/>
        <v>0</v>
      </c>
      <c r="G17" s="4">
        <f t="shared" si="3"/>
        <v>0</v>
      </c>
      <c r="H17" s="4">
        <f t="shared" si="3"/>
        <v>0</v>
      </c>
      <c r="I17" s="4">
        <f t="shared" si="3"/>
        <v>0</v>
      </c>
      <c r="J17" s="4">
        <f t="shared" si="3"/>
        <v>0</v>
      </c>
      <c r="K17" s="4">
        <f t="shared" si="3"/>
        <v>0</v>
      </c>
      <c r="L17" s="4">
        <f t="shared" si="3"/>
        <v>0</v>
      </c>
      <c r="M17" s="4">
        <f t="shared" si="3"/>
        <v>0</v>
      </c>
      <c r="N17" s="4">
        <f t="shared" si="3"/>
        <v>0</v>
      </c>
      <c r="O17" s="4">
        <f t="shared" si="3"/>
        <v>0</v>
      </c>
      <c r="P17" s="24">
        <f>D16+E16+F16+G16+H16+I16+J16+K16+L16+M16+N16+O16</f>
        <v>0</v>
      </c>
    </row>
    <row r="18" spans="1:16" ht="19.5" customHeight="1" x14ac:dyDescent="0.25">
      <c r="A18" s="29" t="s">
        <v>57</v>
      </c>
      <c r="B18" s="24" t="s">
        <v>412</v>
      </c>
      <c r="C18" s="24" t="s">
        <v>226</v>
      </c>
      <c r="P18" s="24">
        <f>(D11+E11+F11+G11+H11+I11+J11+K11+L11+M11+N11+O11)+(D12+E12+F12+G12+H12+I12+J12+K12+L12+M12+N12+O12)+(D13+E13+F13+G13+H13+I13+J13+K13+L13+M13+N13+O13)</f>
        <v>0</v>
      </c>
    </row>
    <row r="19" spans="1:16" ht="19.5" customHeight="1" x14ac:dyDescent="0.25">
      <c r="A19" s="32" t="s">
        <v>413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6"/>
    </row>
    <row r="20" spans="1:16" ht="21.75" customHeight="1" x14ac:dyDescent="0.25">
      <c r="A20" s="17" t="s">
        <v>414</v>
      </c>
      <c r="B20" s="18" t="s">
        <v>415</v>
      </c>
      <c r="C20" s="17" t="s">
        <v>48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6" ht="19.5" customHeight="1" x14ac:dyDescent="0.25">
      <c r="A21" s="17" t="s">
        <v>416</v>
      </c>
      <c r="B21" s="18" t="s">
        <v>417</v>
      </c>
      <c r="C21" s="17" t="s">
        <v>48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6" ht="19.5" customHeight="1" x14ac:dyDescent="0.25">
      <c r="A22" s="17" t="s">
        <v>418</v>
      </c>
      <c r="B22" t="s">
        <v>419</v>
      </c>
      <c r="C22" t="s">
        <v>48</v>
      </c>
    </row>
    <row r="23" spans="1:16" ht="19.5" customHeight="1" x14ac:dyDescent="0.25">
      <c r="A23" s="3" t="s">
        <v>420</v>
      </c>
      <c r="B23" s="3" t="s">
        <v>421</v>
      </c>
      <c r="C23" s="3" t="s">
        <v>48</v>
      </c>
      <c r="D23" s="3">
        <f t="shared" ref="D23:O23" si="4">SUM(D16,D17,D18)</f>
        <v>0</v>
      </c>
      <c r="E23" s="3">
        <f t="shared" si="4"/>
        <v>0</v>
      </c>
      <c r="F23" s="3">
        <f t="shared" si="4"/>
        <v>0</v>
      </c>
      <c r="G23" s="3">
        <f t="shared" si="4"/>
        <v>0</v>
      </c>
      <c r="H23" s="3">
        <f t="shared" si="4"/>
        <v>0</v>
      </c>
      <c r="I23" s="3">
        <f t="shared" si="4"/>
        <v>0</v>
      </c>
      <c r="J23" s="3">
        <f t="shared" si="4"/>
        <v>0</v>
      </c>
      <c r="K23" s="3">
        <f t="shared" si="4"/>
        <v>0</v>
      </c>
      <c r="L23" s="3">
        <f t="shared" si="4"/>
        <v>0</v>
      </c>
      <c r="M23" s="3">
        <f t="shared" si="4"/>
        <v>0</v>
      </c>
      <c r="N23" s="3">
        <f t="shared" si="4"/>
        <v>0</v>
      </c>
      <c r="O23" s="3">
        <f t="shared" si="4"/>
        <v>0</v>
      </c>
    </row>
    <row r="24" spans="1:16" ht="19.5" customHeight="1" x14ac:dyDescent="0.25">
      <c r="A24" s="23" t="s">
        <v>57</v>
      </c>
      <c r="B24" s="27" t="s">
        <v>422</v>
      </c>
      <c r="C24" s="27" t="s">
        <v>48</v>
      </c>
      <c r="D24" s="27">
        <f t="shared" ref="D24:O24" si="5">SUM(D18,D19,D20)</f>
        <v>0</v>
      </c>
      <c r="E24" s="27">
        <f t="shared" si="5"/>
        <v>0</v>
      </c>
      <c r="F24" s="27">
        <f t="shared" si="5"/>
        <v>0</v>
      </c>
      <c r="G24" s="27">
        <f t="shared" si="5"/>
        <v>0</v>
      </c>
      <c r="H24" s="27">
        <f t="shared" si="5"/>
        <v>0</v>
      </c>
      <c r="I24" s="27">
        <f t="shared" si="5"/>
        <v>0</v>
      </c>
      <c r="J24" s="27">
        <f t="shared" si="5"/>
        <v>0</v>
      </c>
      <c r="K24" s="27">
        <f t="shared" si="5"/>
        <v>0</v>
      </c>
      <c r="L24" s="27">
        <f t="shared" si="5"/>
        <v>0</v>
      </c>
      <c r="M24" s="27">
        <f t="shared" si="5"/>
        <v>0</v>
      </c>
      <c r="N24" s="27">
        <f t="shared" si="5"/>
        <v>0</v>
      </c>
      <c r="O24" s="27">
        <f t="shared" si="5"/>
        <v>0</v>
      </c>
      <c r="P24" s="24">
        <f>D22+E22+F22+G22+H22+I22+J22+K22+L22+M22+N22+O22</f>
        <v>0</v>
      </c>
    </row>
    <row r="25" spans="1:16" ht="21.75" customHeight="1" x14ac:dyDescent="0.25">
      <c r="A25" s="29" t="s">
        <v>57</v>
      </c>
      <c r="B25" s="24" t="s">
        <v>423</v>
      </c>
      <c r="C25" s="24" t="s">
        <v>48</v>
      </c>
      <c r="P25" s="24">
        <f>(D16+E16+F16+G16+H16+I16+J16+K16+L16+M16+N16+O16)+(D17+E17+F17+G17+H17+I17+J17+K17+L17+M17+N17+O17)+(D18+E18+F18+G18+H18+I18+J18+K18+L18+M18+N18+O18)</f>
        <v>0</v>
      </c>
    </row>
    <row r="26" spans="1:16" ht="19.5" customHeight="1" x14ac:dyDescent="0.25">
      <c r="A26" s="32" t="s">
        <v>424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6"/>
    </row>
    <row r="27" spans="1:16" ht="19.5" customHeight="1" x14ac:dyDescent="0.25">
      <c r="A27" s="17" t="s">
        <v>425</v>
      </c>
      <c r="B27" s="18" t="s">
        <v>426</v>
      </c>
      <c r="C27" s="17" t="s">
        <v>48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</row>
    <row r="28" spans="1:16" ht="19.5" customHeight="1" x14ac:dyDescent="0.25">
      <c r="A28" s="17" t="s">
        <v>427</v>
      </c>
      <c r="B28" t="s">
        <v>428</v>
      </c>
      <c r="C28" t="s">
        <v>48</v>
      </c>
    </row>
    <row r="29" spans="1:16" ht="19.5" customHeight="1" x14ac:dyDescent="0.25">
      <c r="A29" s="17" t="s">
        <v>429</v>
      </c>
      <c r="B29" s="18" t="s">
        <v>419</v>
      </c>
      <c r="C29" s="17" t="s">
        <v>48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spans="1:16" ht="19.5" customHeight="1" x14ac:dyDescent="0.25">
      <c r="A30" s="20" t="s">
        <v>430</v>
      </c>
      <c r="B30" s="21" t="s">
        <v>531</v>
      </c>
      <c r="C30" s="17" t="s">
        <v>48</v>
      </c>
      <c r="D30" s="31">
        <f t="shared" ref="D30:O30" si="6">SUM(D21,D22,D23)</f>
        <v>0</v>
      </c>
      <c r="E30" s="31">
        <f t="shared" si="6"/>
        <v>0</v>
      </c>
      <c r="F30" s="31">
        <f t="shared" si="6"/>
        <v>0</v>
      </c>
      <c r="G30" s="31">
        <f t="shared" si="6"/>
        <v>0</v>
      </c>
      <c r="H30" s="31">
        <f t="shared" si="6"/>
        <v>0</v>
      </c>
      <c r="I30" s="31">
        <f t="shared" si="6"/>
        <v>0</v>
      </c>
      <c r="J30" s="31">
        <f t="shared" si="6"/>
        <v>0</v>
      </c>
      <c r="K30" s="31">
        <f t="shared" si="6"/>
        <v>0</v>
      </c>
      <c r="L30" s="31">
        <f t="shared" si="6"/>
        <v>0</v>
      </c>
      <c r="M30" s="31">
        <f t="shared" si="6"/>
        <v>0</v>
      </c>
      <c r="N30" s="31">
        <f t="shared" si="6"/>
        <v>0</v>
      </c>
      <c r="O30" s="31">
        <f t="shared" si="6"/>
        <v>0</v>
      </c>
    </row>
    <row r="31" spans="1:16" ht="15" customHeight="1" x14ac:dyDescent="0.25">
      <c r="A31" s="23" t="s">
        <v>57</v>
      </c>
      <c r="B31" s="27" t="s">
        <v>431</v>
      </c>
      <c r="C31" s="27" t="s">
        <v>48</v>
      </c>
      <c r="D31" s="27">
        <f t="shared" ref="D31:O31" si="7">SUM(D24,D25,D26)</f>
        <v>0</v>
      </c>
      <c r="E31" s="27">
        <f t="shared" si="7"/>
        <v>0</v>
      </c>
      <c r="F31" s="27">
        <f t="shared" si="7"/>
        <v>0</v>
      </c>
      <c r="G31" s="27">
        <f t="shared" si="7"/>
        <v>0</v>
      </c>
      <c r="H31" s="27">
        <f t="shared" si="7"/>
        <v>0</v>
      </c>
      <c r="I31" s="27">
        <f t="shared" si="7"/>
        <v>0</v>
      </c>
      <c r="J31" s="27">
        <f t="shared" si="7"/>
        <v>0</v>
      </c>
      <c r="K31" s="27">
        <f t="shared" si="7"/>
        <v>0</v>
      </c>
      <c r="L31" s="27">
        <f t="shared" si="7"/>
        <v>0</v>
      </c>
      <c r="M31" s="27">
        <f t="shared" si="7"/>
        <v>0</v>
      </c>
      <c r="N31" s="27">
        <f t="shared" si="7"/>
        <v>0</v>
      </c>
      <c r="O31" s="27">
        <f t="shared" si="7"/>
        <v>0</v>
      </c>
      <c r="P31" s="24">
        <f>D28+E28+F28+G28+H28+I28+J28+K28+L28+M28+N28+O28</f>
        <v>0</v>
      </c>
    </row>
    <row r="32" spans="1:16" ht="15" customHeight="1" x14ac:dyDescent="0.25">
      <c r="A32" s="29" t="s">
        <v>57</v>
      </c>
      <c r="B32" s="24" t="s">
        <v>432</v>
      </c>
      <c r="C32" s="24" t="s">
        <v>48</v>
      </c>
      <c r="P32" s="24">
        <f>(D21+E21+F21+G21+H21+I21+J21+K21+L21+M21+N21+O21)+(D22+E22+F22+G22+H22+I22+J22+K22+L22+M22+N22+O22)+(D23+E23+F23+G23+H23+I23+J23+K23+L23+M23+N23+O23)</f>
        <v>0</v>
      </c>
    </row>
    <row r="33" spans="1:16" ht="15" customHeight="1" x14ac:dyDescent="0.25">
      <c r="A33" s="16" t="s">
        <v>433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6"/>
    </row>
    <row r="34" spans="1:16" ht="15" customHeight="1" x14ac:dyDescent="0.25">
      <c r="A34" s="17" t="s">
        <v>434</v>
      </c>
      <c r="B34" s="18" t="s">
        <v>435</v>
      </c>
      <c r="C34" s="17" t="s">
        <v>226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</row>
    <row r="35" spans="1:16" ht="15" customHeight="1" x14ac:dyDescent="0.25">
      <c r="A35" s="17" t="s">
        <v>436</v>
      </c>
      <c r="B35" s="18" t="s">
        <v>437</v>
      </c>
      <c r="C35" s="17" t="s">
        <v>226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</row>
    <row r="36" spans="1:16" x14ac:dyDescent="0.25">
      <c r="A36" s="17" t="s">
        <v>438</v>
      </c>
      <c r="B36" s="18" t="s">
        <v>439</v>
      </c>
      <c r="C36" s="17" t="s">
        <v>226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</row>
    <row r="37" spans="1:16" x14ac:dyDescent="0.25">
      <c r="A37" s="23" t="s">
        <v>57</v>
      </c>
      <c r="B37" s="27" t="s">
        <v>440</v>
      </c>
      <c r="C37" s="27" t="s">
        <v>226</v>
      </c>
      <c r="D37" s="27">
        <f t="shared" ref="D37:O37" si="8">SUM(D30,D31,D32)</f>
        <v>0</v>
      </c>
      <c r="E37" s="27">
        <f t="shared" si="8"/>
        <v>0</v>
      </c>
      <c r="F37" s="27">
        <f t="shared" si="8"/>
        <v>0</v>
      </c>
      <c r="G37" s="27">
        <f t="shared" si="8"/>
        <v>0</v>
      </c>
      <c r="H37" s="27">
        <f t="shared" si="8"/>
        <v>0</v>
      </c>
      <c r="I37" s="27">
        <f t="shared" si="8"/>
        <v>0</v>
      </c>
      <c r="J37" s="27">
        <f t="shared" si="8"/>
        <v>0</v>
      </c>
      <c r="K37" s="27">
        <f t="shared" si="8"/>
        <v>0</v>
      </c>
      <c r="L37" s="27">
        <f t="shared" si="8"/>
        <v>0</v>
      </c>
      <c r="M37" s="27">
        <f t="shared" si="8"/>
        <v>0</v>
      </c>
      <c r="N37" s="27">
        <f t="shared" si="8"/>
        <v>0</v>
      </c>
      <c r="O37" s="27">
        <f t="shared" si="8"/>
        <v>0</v>
      </c>
      <c r="P37" s="24">
        <f>D33+E33+F33+G33+H33+I33+J33+K33+L33+M33+N33+O33</f>
        <v>0</v>
      </c>
    </row>
    <row r="38" spans="1:16" x14ac:dyDescent="0.25">
      <c r="A38" s="17" t="s">
        <v>441</v>
      </c>
      <c r="B38" s="18" t="s">
        <v>442</v>
      </c>
      <c r="C38" s="17" t="s">
        <v>353</v>
      </c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</row>
    <row r="39" spans="1:16" x14ac:dyDescent="0.25">
      <c r="A39" s="17" t="s">
        <v>443</v>
      </c>
      <c r="B39" s="18" t="s">
        <v>444</v>
      </c>
      <c r="C39" s="17" t="s">
        <v>48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</row>
    <row r="40" spans="1:16" x14ac:dyDescent="0.25">
      <c r="A40" s="29" t="s">
        <v>57</v>
      </c>
      <c r="B40" s="24" t="s">
        <v>445</v>
      </c>
      <c r="C40" s="24" t="s">
        <v>226</v>
      </c>
      <c r="P40" s="24">
        <f>(D26+E26+F26+G26+H26+I26+J26+K26+L26+M26+N26+O26)+(D27+E27+F27+G27+H27+I27+J27+K27+L27+M27+N27+O27)+(D28+E28+F28+G28+H28+I28+J28+K28+L28+M28+N28+O28)</f>
        <v>0</v>
      </c>
    </row>
  </sheetData>
  <mergeCells count="6">
    <mergeCell ref="A23:O23"/>
    <mergeCell ref="A1:O1"/>
    <mergeCell ref="A2:O2"/>
    <mergeCell ref="A5:O5"/>
    <mergeCell ref="A11:O11"/>
    <mergeCell ref="A17:O1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61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7109375" defaultRowHeight="15" x14ac:dyDescent="0.25"/>
  <cols>
    <col min="1" max="1" width="8" customWidth="1"/>
    <col min="2" max="2" width="45" customWidth="1"/>
    <col min="3" max="3" width="10" customWidth="1"/>
    <col min="4" max="15" width="14" customWidth="1"/>
    <col min="16" max="16" width="16" customWidth="1"/>
  </cols>
  <sheetData>
    <row r="1" spans="1:16" ht="30" customHeight="1" x14ac:dyDescent="0.25">
      <c r="A1" s="7" t="s">
        <v>446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6" ht="19.5" customHeight="1" x14ac:dyDescent="0.25">
      <c r="A2" s="6" t="s">
        <v>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spans="1:16" ht="24.75" customHeight="1" x14ac:dyDescent="0.25">
      <c r="A4" s="14" t="s">
        <v>29</v>
      </c>
      <c r="B4" s="14" t="s">
        <v>30</v>
      </c>
      <c r="C4" s="14" t="s">
        <v>31</v>
      </c>
      <c r="D4" s="14" t="s">
        <v>32</v>
      </c>
      <c r="E4" s="14" t="s">
        <v>33</v>
      </c>
      <c r="F4" s="14" t="s">
        <v>34</v>
      </c>
      <c r="G4" s="14" t="s">
        <v>35</v>
      </c>
      <c r="H4" s="14" t="s">
        <v>36</v>
      </c>
      <c r="I4" s="14" t="s">
        <v>37</v>
      </c>
      <c r="J4" s="14" t="s">
        <v>38</v>
      </c>
      <c r="K4" s="14" t="s">
        <v>39</v>
      </c>
      <c r="L4" s="14" t="s">
        <v>40</v>
      </c>
      <c r="M4" s="14" t="s">
        <v>41</v>
      </c>
      <c r="N4" s="14" t="s">
        <v>42</v>
      </c>
      <c r="O4" s="14" t="s">
        <v>43</v>
      </c>
      <c r="P4" s="15" t="s">
        <v>44</v>
      </c>
    </row>
    <row r="5" spans="1:16" ht="21.75" customHeight="1" x14ac:dyDescent="0.25">
      <c r="A5" s="5" t="s">
        <v>447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6" ht="19.5" customHeight="1" x14ac:dyDescent="0.25">
      <c r="A6" s="17" t="s">
        <v>448</v>
      </c>
      <c r="B6" s="18" t="s">
        <v>449</v>
      </c>
      <c r="C6" s="17" t="s">
        <v>48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  <row r="7" spans="1:16" ht="19.5" customHeight="1" x14ac:dyDescent="0.25">
      <c r="A7" s="17" t="s">
        <v>450</v>
      </c>
      <c r="B7" s="18" t="s">
        <v>451</v>
      </c>
      <c r="C7" s="17" t="s">
        <v>226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1:16" ht="21.75" customHeight="1" x14ac:dyDescent="0.25">
      <c r="A8" s="4" t="s">
        <v>57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24">
        <f>D8+E8+F8+G8+H8+I8+J8+K8+L8+M8+N8+O8</f>
        <v>0</v>
      </c>
    </row>
    <row r="9" spans="1:16" ht="19.5" customHeight="1" x14ac:dyDescent="0.25">
      <c r="A9" s="16" t="s">
        <v>452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6"/>
    </row>
    <row r="10" spans="1:16" ht="19.5" customHeight="1" x14ac:dyDescent="0.25">
      <c r="A10" s="17" t="s">
        <v>453</v>
      </c>
      <c r="B10" s="18" t="s">
        <v>454</v>
      </c>
      <c r="C10" s="17" t="s">
        <v>48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</row>
    <row r="11" spans="1:16" ht="19.5" customHeight="1" x14ac:dyDescent="0.25">
      <c r="A11" s="17" t="s">
        <v>455</v>
      </c>
      <c r="B11" s="18" t="s">
        <v>456</v>
      </c>
      <c r="C11" s="17" t="s">
        <v>48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</row>
    <row r="12" spans="1:16" ht="19.5" customHeight="1" x14ac:dyDescent="0.25">
      <c r="A12" s="17" t="s">
        <v>457</v>
      </c>
      <c r="B12" s="18" t="s">
        <v>458</v>
      </c>
      <c r="C12" s="17" t="s">
        <v>48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</row>
    <row r="13" spans="1:16" ht="19.5" customHeight="1" x14ac:dyDescent="0.25">
      <c r="A13" s="17" t="s">
        <v>459</v>
      </c>
      <c r="B13" s="18" t="s">
        <v>460</v>
      </c>
      <c r="C13" s="17" t="s">
        <v>48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</row>
    <row r="14" spans="1:16" ht="19.5" customHeight="1" x14ac:dyDescent="0.25">
      <c r="A14" s="17" t="s">
        <v>461</v>
      </c>
      <c r="B14" s="18" t="s">
        <v>462</v>
      </c>
      <c r="C14" s="17" t="s">
        <v>48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</row>
    <row r="15" spans="1:16" ht="21.75" customHeight="1" x14ac:dyDescent="0.25">
      <c r="A15" s="3" t="s">
        <v>463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6" ht="19.5" customHeight="1" x14ac:dyDescent="0.25">
      <c r="A16" s="23" t="s">
        <v>57</v>
      </c>
      <c r="B16" s="27" t="s">
        <v>464</v>
      </c>
      <c r="C16" s="27" t="s">
        <v>48</v>
      </c>
      <c r="D16" s="27">
        <f t="shared" ref="D16:O16" si="0">SUM(D9,D10,D11,D12,D13)</f>
        <v>0</v>
      </c>
      <c r="E16" s="27">
        <f t="shared" si="0"/>
        <v>0</v>
      </c>
      <c r="F16" s="27">
        <f t="shared" si="0"/>
        <v>0</v>
      </c>
      <c r="G16" s="27">
        <f t="shared" si="0"/>
        <v>0</v>
      </c>
      <c r="H16" s="27">
        <f t="shared" si="0"/>
        <v>0</v>
      </c>
      <c r="I16" s="27">
        <f t="shared" si="0"/>
        <v>0</v>
      </c>
      <c r="J16" s="27">
        <f t="shared" si="0"/>
        <v>0</v>
      </c>
      <c r="K16" s="27">
        <f t="shared" si="0"/>
        <v>0</v>
      </c>
      <c r="L16" s="27">
        <f t="shared" si="0"/>
        <v>0</v>
      </c>
      <c r="M16" s="27">
        <f t="shared" si="0"/>
        <v>0</v>
      </c>
      <c r="N16" s="27">
        <f t="shared" si="0"/>
        <v>0</v>
      </c>
      <c r="O16" s="27">
        <f t="shared" si="0"/>
        <v>0</v>
      </c>
      <c r="P16" s="24">
        <f>D15+E15+F15+G15+H15+I15+J15+K15+L15+M15+N15+O15</f>
        <v>0</v>
      </c>
    </row>
    <row r="17" spans="1:16" ht="19.5" customHeight="1" x14ac:dyDescent="0.25">
      <c r="A17" s="16" t="s">
        <v>465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6"/>
    </row>
    <row r="18" spans="1:16" ht="21.75" customHeight="1" x14ac:dyDescent="0.25">
      <c r="A18" s="2" t="s">
        <v>466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6" ht="19.5" customHeight="1" x14ac:dyDescent="0.25">
      <c r="A19" s="17" t="s">
        <v>467</v>
      </c>
      <c r="B19" s="18" t="s">
        <v>468</v>
      </c>
      <c r="C19" s="17" t="s">
        <v>353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</row>
    <row r="20" spans="1:16" ht="19.5" customHeight="1" x14ac:dyDescent="0.25">
      <c r="A20" s="16" t="s">
        <v>469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6"/>
    </row>
    <row r="21" spans="1:16" ht="19.5" customHeight="1" x14ac:dyDescent="0.25">
      <c r="A21" s="17" t="s">
        <v>470</v>
      </c>
      <c r="B21" s="18" t="s">
        <v>471</v>
      </c>
      <c r="C21" s="17" t="s">
        <v>48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6" ht="19.5" customHeight="1" x14ac:dyDescent="0.25">
      <c r="A22" s="17" t="s">
        <v>472</v>
      </c>
      <c r="B22" s="18" t="s">
        <v>473</v>
      </c>
      <c r="C22" s="17" t="s">
        <v>226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</row>
    <row r="23" spans="1:16" ht="19.5" customHeight="1" x14ac:dyDescent="0.25">
      <c r="A23" s="17" t="s">
        <v>474</v>
      </c>
      <c r="B23" s="18" t="s">
        <v>475</v>
      </c>
      <c r="C23" s="17" t="s">
        <v>226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1:16" ht="21.75" customHeight="1" x14ac:dyDescent="0.25">
      <c r="A24" s="2" t="s">
        <v>476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6" ht="19.5" customHeight="1" x14ac:dyDescent="0.25">
      <c r="A25" s="23" t="s">
        <v>57</v>
      </c>
      <c r="B25" s="27" t="s">
        <v>477</v>
      </c>
      <c r="C25" s="27" t="s">
        <v>226</v>
      </c>
      <c r="D25" s="27">
        <f t="shared" ref="D25:O25" si="1">SUM(D20,D21,D22)</f>
        <v>0</v>
      </c>
      <c r="E25" s="27">
        <f t="shared" si="1"/>
        <v>0</v>
      </c>
      <c r="F25" s="27">
        <f t="shared" si="1"/>
        <v>0</v>
      </c>
      <c r="G25" s="27">
        <f t="shared" si="1"/>
        <v>0</v>
      </c>
      <c r="H25" s="27">
        <f t="shared" si="1"/>
        <v>0</v>
      </c>
      <c r="I25" s="27">
        <f t="shared" si="1"/>
        <v>0</v>
      </c>
      <c r="J25" s="27">
        <f t="shared" si="1"/>
        <v>0</v>
      </c>
      <c r="K25" s="27">
        <f t="shared" si="1"/>
        <v>0</v>
      </c>
      <c r="L25" s="27">
        <f t="shared" si="1"/>
        <v>0</v>
      </c>
      <c r="M25" s="27">
        <f t="shared" si="1"/>
        <v>0</v>
      </c>
      <c r="N25" s="27">
        <f t="shared" si="1"/>
        <v>0</v>
      </c>
      <c r="O25" s="27">
        <f t="shared" si="1"/>
        <v>0</v>
      </c>
      <c r="P25" s="24">
        <f>D23+E23+F23+G23+H23+I23+J23+K23+L23+M23+N23+O23</f>
        <v>0</v>
      </c>
    </row>
    <row r="26" spans="1:16" ht="19.5" customHeight="1" x14ac:dyDescent="0.25">
      <c r="A26" s="17" t="s">
        <v>478</v>
      </c>
      <c r="B26" s="18" t="s">
        <v>479</v>
      </c>
      <c r="C26" s="17" t="s">
        <v>480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</row>
    <row r="27" spans="1:16" ht="19.5" customHeight="1" x14ac:dyDescent="0.25">
      <c r="A27" s="16" t="s">
        <v>481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6"/>
    </row>
    <row r="28" spans="1:16" ht="19.5" customHeight="1" x14ac:dyDescent="0.25">
      <c r="A28" s="17" t="s">
        <v>482</v>
      </c>
      <c r="B28" s="18" t="s">
        <v>483</v>
      </c>
      <c r="C28" s="17" t="s">
        <v>48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spans="1:16" ht="19.5" customHeight="1" x14ac:dyDescent="0.25">
      <c r="A29" s="17" t="s">
        <v>484</v>
      </c>
      <c r="B29" s="18" t="s">
        <v>485</v>
      </c>
      <c r="C29" s="17" t="s">
        <v>226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spans="1:16" ht="21.75" customHeight="1" x14ac:dyDescent="0.25">
      <c r="A30" s="2" t="s">
        <v>486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6" ht="19.5" customHeight="1" x14ac:dyDescent="0.25">
      <c r="A31" s="17" t="s">
        <v>487</v>
      </c>
      <c r="B31" s="18" t="s">
        <v>488</v>
      </c>
      <c r="C31" s="17" t="s">
        <v>226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</row>
    <row r="32" spans="1:16" ht="19.5" customHeight="1" x14ac:dyDescent="0.25">
      <c r="A32" s="23" t="s">
        <v>57</v>
      </c>
      <c r="B32" s="27" t="s">
        <v>489</v>
      </c>
      <c r="C32" s="27" t="s">
        <v>226</v>
      </c>
      <c r="D32" s="27">
        <f t="shared" ref="D32:O32" si="2">SUM(D26,D27,D28)</f>
        <v>0</v>
      </c>
      <c r="E32" s="27">
        <f t="shared" si="2"/>
        <v>0</v>
      </c>
      <c r="F32" s="27">
        <f t="shared" si="2"/>
        <v>0</v>
      </c>
      <c r="G32" s="27">
        <f t="shared" si="2"/>
        <v>0</v>
      </c>
      <c r="H32" s="27">
        <f t="shared" si="2"/>
        <v>0</v>
      </c>
      <c r="I32" s="27">
        <f t="shared" si="2"/>
        <v>0</v>
      </c>
      <c r="J32" s="27">
        <f t="shared" si="2"/>
        <v>0</v>
      </c>
      <c r="K32" s="27">
        <f t="shared" si="2"/>
        <v>0</v>
      </c>
      <c r="L32" s="27">
        <f t="shared" si="2"/>
        <v>0</v>
      </c>
      <c r="M32" s="27">
        <f t="shared" si="2"/>
        <v>0</v>
      </c>
      <c r="N32" s="27">
        <f t="shared" si="2"/>
        <v>0</v>
      </c>
      <c r="O32" s="27">
        <f t="shared" si="2"/>
        <v>0</v>
      </c>
      <c r="P32" s="24">
        <f>D29+E29+F29+G29+H29+I29+J29+K29+L29+M29+N29+O29</f>
        <v>0</v>
      </c>
    </row>
    <row r="33" spans="1:16" ht="19.5" customHeight="1" x14ac:dyDescent="0.25">
      <c r="A33" s="17" t="s">
        <v>490</v>
      </c>
      <c r="B33" s="18" t="s">
        <v>491</v>
      </c>
      <c r="C33" s="17" t="s">
        <v>480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</row>
    <row r="34" spans="1:16" ht="19.5" customHeight="1" x14ac:dyDescent="0.25">
      <c r="A34" s="16" t="s">
        <v>492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6"/>
    </row>
    <row r="35" spans="1:16" ht="19.5" customHeight="1" x14ac:dyDescent="0.25">
      <c r="A35" s="17" t="s">
        <v>493</v>
      </c>
      <c r="B35" s="18" t="s">
        <v>494</v>
      </c>
      <c r="C35" s="17" t="s">
        <v>48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spans="1:16" ht="21.75" customHeight="1" x14ac:dyDescent="0.25">
      <c r="A36" s="2" t="s">
        <v>495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6" ht="19.5" customHeight="1" x14ac:dyDescent="0.25">
      <c r="A37" s="17" t="s">
        <v>496</v>
      </c>
      <c r="B37" s="18" t="s">
        <v>497</v>
      </c>
      <c r="C37" s="17" t="s">
        <v>226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</row>
    <row r="38" spans="1:16" ht="19.5" customHeight="1" x14ac:dyDescent="0.25">
      <c r="A38" s="17" t="s">
        <v>498</v>
      </c>
      <c r="B38" s="18" t="s">
        <v>499</v>
      </c>
      <c r="C38" s="17" t="s">
        <v>226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</row>
    <row r="39" spans="1:16" ht="19.5" customHeight="1" x14ac:dyDescent="0.25">
      <c r="A39" s="23" t="s">
        <v>57</v>
      </c>
      <c r="B39" s="27" t="s">
        <v>500</v>
      </c>
      <c r="C39" s="27" t="s">
        <v>226</v>
      </c>
      <c r="D39" s="27">
        <f t="shared" ref="D39:O39" si="3">SUM(D32,D33,D34)</f>
        <v>0</v>
      </c>
      <c r="E39" s="27">
        <f t="shared" si="3"/>
        <v>0</v>
      </c>
      <c r="F39" s="27">
        <f t="shared" si="3"/>
        <v>0</v>
      </c>
      <c r="G39" s="27">
        <f t="shared" si="3"/>
        <v>0</v>
      </c>
      <c r="H39" s="27">
        <f t="shared" si="3"/>
        <v>0</v>
      </c>
      <c r="I39" s="27">
        <f t="shared" si="3"/>
        <v>0</v>
      </c>
      <c r="J39" s="27">
        <f t="shared" si="3"/>
        <v>0</v>
      </c>
      <c r="K39" s="27">
        <f t="shared" si="3"/>
        <v>0</v>
      </c>
      <c r="L39" s="27">
        <f t="shared" si="3"/>
        <v>0</v>
      </c>
      <c r="M39" s="27">
        <f t="shared" si="3"/>
        <v>0</v>
      </c>
      <c r="N39" s="27">
        <f t="shared" si="3"/>
        <v>0</v>
      </c>
      <c r="O39" s="27">
        <f t="shared" si="3"/>
        <v>0</v>
      </c>
      <c r="P39" s="24">
        <f>D35+E35+F35+G35+H35+I35+J35+K35+L35+M35+N35+O35</f>
        <v>0</v>
      </c>
    </row>
    <row r="40" spans="1:16" ht="19.5" customHeight="1" x14ac:dyDescent="0.25">
      <c r="A40" s="17" t="s">
        <v>501</v>
      </c>
      <c r="B40" s="18" t="s">
        <v>502</v>
      </c>
      <c r="C40" s="17" t="s">
        <v>480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</row>
    <row r="41" spans="1:16" ht="19.5" customHeight="1" x14ac:dyDescent="0.25">
      <c r="A41" s="16" t="s">
        <v>503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6"/>
    </row>
    <row r="42" spans="1:16" ht="15" customHeight="1" x14ac:dyDescent="0.25">
      <c r="A42" s="17" t="s">
        <v>504</v>
      </c>
      <c r="B42" s="18" t="s">
        <v>505</v>
      </c>
      <c r="C42" s="17" t="s">
        <v>48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spans="1:16" ht="15" customHeight="1" x14ac:dyDescent="0.25">
      <c r="A43" s="17" t="s">
        <v>506</v>
      </c>
      <c r="B43" s="18" t="s">
        <v>507</v>
      </c>
      <c r="C43" s="17" t="s">
        <v>226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</row>
    <row r="44" spans="1:16" ht="15" customHeight="1" x14ac:dyDescent="0.25">
      <c r="A44" s="17" t="s">
        <v>508</v>
      </c>
      <c r="B44" s="18" t="s">
        <v>509</v>
      </c>
      <c r="C44" s="17" t="s">
        <v>226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</row>
    <row r="45" spans="1:16" ht="15" customHeight="1" x14ac:dyDescent="0.25">
      <c r="A45" s="17" t="s">
        <v>510</v>
      </c>
      <c r="B45" s="18" t="s">
        <v>511</v>
      </c>
      <c r="C45" s="17" t="s">
        <v>226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</row>
    <row r="46" spans="1:16" ht="15" customHeight="1" x14ac:dyDescent="0.25">
      <c r="A46" s="23" t="s">
        <v>57</v>
      </c>
      <c r="B46" s="27" t="s">
        <v>512</v>
      </c>
      <c r="C46" s="27" t="s">
        <v>226</v>
      </c>
      <c r="D46" s="27">
        <f t="shared" ref="D46:O46" si="4">SUM(D38,D39,D40)</f>
        <v>0</v>
      </c>
      <c r="E46" s="27">
        <f t="shared" si="4"/>
        <v>0</v>
      </c>
      <c r="F46" s="27">
        <f t="shared" si="4"/>
        <v>0</v>
      </c>
      <c r="G46" s="27">
        <f t="shared" si="4"/>
        <v>0</v>
      </c>
      <c r="H46" s="27">
        <f t="shared" si="4"/>
        <v>0</v>
      </c>
      <c r="I46" s="27">
        <f t="shared" si="4"/>
        <v>0</v>
      </c>
      <c r="J46" s="27">
        <f t="shared" si="4"/>
        <v>0</v>
      </c>
      <c r="K46" s="27">
        <f t="shared" si="4"/>
        <v>0</v>
      </c>
      <c r="L46" s="27">
        <f t="shared" si="4"/>
        <v>0</v>
      </c>
      <c r="M46" s="27">
        <f t="shared" si="4"/>
        <v>0</v>
      </c>
      <c r="N46" s="27">
        <f t="shared" si="4"/>
        <v>0</v>
      </c>
      <c r="O46" s="27">
        <f t="shared" si="4"/>
        <v>0</v>
      </c>
      <c r="P46" s="24">
        <f>D41+E41+F41+G41+H41+I41+J41+K41+L41+M41+N41+O41</f>
        <v>0</v>
      </c>
    </row>
    <row r="47" spans="1:16" ht="15" customHeight="1" x14ac:dyDescent="0.25">
      <c r="A47" s="17" t="s">
        <v>513</v>
      </c>
      <c r="B47" s="18" t="s">
        <v>514</v>
      </c>
      <c r="C47" s="17" t="s">
        <v>480</v>
      </c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</row>
    <row r="48" spans="1:16" ht="15" customHeight="1" x14ac:dyDescent="0.25">
      <c r="A48" s="29" t="s">
        <v>57</v>
      </c>
      <c r="B48" s="24" t="s">
        <v>515</v>
      </c>
      <c r="C48" s="24" t="s">
        <v>48</v>
      </c>
      <c r="P48" s="24">
        <f>(D6+E6+F6+G6+H6+I6+J6+K6+L6+M6+N6+O6)</f>
        <v>0</v>
      </c>
    </row>
    <row r="49" spans="1:16" ht="15" customHeight="1" x14ac:dyDescent="0.25">
      <c r="A49" s="29" t="s">
        <v>57</v>
      </c>
      <c r="B49" s="24" t="s">
        <v>516</v>
      </c>
      <c r="C49" s="24" t="s">
        <v>48</v>
      </c>
      <c r="P49" s="24">
        <f>(D9+E9+F9+G9+H9+I9+J9+K9+L9+M9+N9+O9)+(D10+E10+F10+G10+H10+I10+J10+K10+L10+M10+N10+O10)+(D11+E11+F11+G11+H11+I11+J11+K11+L11+M11+N11+O11)+(D12+E12+F12+G12+H12+I12+J12+K12+L12+M12+N12+O12)+(D13+E13+F13+G13+H13+I13+J13+K13+L13+M13+N13+O13)</f>
        <v>0</v>
      </c>
    </row>
    <row r="50" spans="1:16" ht="15" customHeight="1" x14ac:dyDescent="0.25">
      <c r="A50" s="29" t="s">
        <v>57</v>
      </c>
      <c r="B50" s="24" t="s">
        <v>517</v>
      </c>
      <c r="C50" s="24" t="s">
        <v>226</v>
      </c>
      <c r="P50" s="24">
        <f>(D20+E20+F20+G20+H20+I20+J20+K20+L20+M20+N20+O20)</f>
        <v>0</v>
      </c>
    </row>
    <row r="51" spans="1:16" ht="15" customHeight="1" x14ac:dyDescent="0.25">
      <c r="A51" s="29" t="s">
        <v>57</v>
      </c>
      <c r="B51" s="24" t="s">
        <v>518</v>
      </c>
      <c r="C51" s="24" t="s">
        <v>226</v>
      </c>
      <c r="P51" s="24">
        <f>(D21+E21+F21+G21+H21+I21+J21+K21+L21+M21+N21+O21)</f>
        <v>0</v>
      </c>
    </row>
    <row r="52" spans="1:16" ht="15" customHeight="1" x14ac:dyDescent="0.25">
      <c r="A52" s="29" t="s">
        <v>57</v>
      </c>
      <c r="B52" s="24" t="s">
        <v>519</v>
      </c>
      <c r="C52" s="24" t="s">
        <v>226</v>
      </c>
      <c r="P52" s="24">
        <f>(D22+E22+F22+G22+H22+I22+J22+K22+L22+M22+N22+O22)</f>
        <v>0</v>
      </c>
    </row>
    <row r="53" spans="1:16" ht="15" customHeight="1" x14ac:dyDescent="0.25">
      <c r="A53" s="29" t="s">
        <v>57</v>
      </c>
      <c r="B53" s="24" t="s">
        <v>520</v>
      </c>
      <c r="C53" s="24" t="s">
        <v>226</v>
      </c>
      <c r="P53" s="24">
        <f>(D26+E26+F26+G26+H26+I26+J26+K26+L26+M26+N26+O26)</f>
        <v>0</v>
      </c>
    </row>
    <row r="54" spans="1:16" ht="15" customHeight="1" x14ac:dyDescent="0.25">
      <c r="A54" s="29" t="s">
        <v>57</v>
      </c>
      <c r="B54" s="24" t="s">
        <v>521</v>
      </c>
      <c r="C54" s="24" t="s">
        <v>226</v>
      </c>
      <c r="P54" s="24">
        <f>(D27+E27+F27+G27+H27+I27+J27+K27+L27+M27+N27+O27)</f>
        <v>0</v>
      </c>
    </row>
    <row r="55" spans="1:16" ht="15" customHeight="1" x14ac:dyDescent="0.25">
      <c r="A55" s="29" t="s">
        <v>57</v>
      </c>
      <c r="B55" s="24" t="s">
        <v>522</v>
      </c>
      <c r="C55" s="24" t="s">
        <v>226</v>
      </c>
      <c r="P55" s="24">
        <f>(D28+E28+F28+G28+H28+I28+J28+K28+L28+M28+N28+O28)</f>
        <v>0</v>
      </c>
    </row>
    <row r="56" spans="1:16" x14ac:dyDescent="0.25">
      <c r="A56" s="29" t="s">
        <v>57</v>
      </c>
      <c r="B56" s="24" t="s">
        <v>523</v>
      </c>
      <c r="C56" s="24" t="s">
        <v>226</v>
      </c>
      <c r="P56" s="24">
        <f>(D32+E32+F32+G32+H32+I32+J32+K32+L32+M32+N32+O32)</f>
        <v>0</v>
      </c>
    </row>
    <row r="57" spans="1:16" x14ac:dyDescent="0.25">
      <c r="A57" s="29" t="s">
        <v>57</v>
      </c>
      <c r="B57" s="24" t="s">
        <v>524</v>
      </c>
      <c r="C57" s="24" t="s">
        <v>226</v>
      </c>
      <c r="P57" s="24">
        <f>(D33+E33+F33+G33+H33+I33+J33+K33+L33+M33+N33+O33)</f>
        <v>0</v>
      </c>
    </row>
    <row r="58" spans="1:16" x14ac:dyDescent="0.25">
      <c r="A58" s="29" t="s">
        <v>57</v>
      </c>
      <c r="B58" s="24" t="s">
        <v>525</v>
      </c>
      <c r="C58" s="24" t="s">
        <v>226</v>
      </c>
      <c r="P58" s="24">
        <f>(D34+E34+F34+G34+H34+I34+J34+K34+L34+M34+N34+O34)</f>
        <v>0</v>
      </c>
    </row>
    <row r="59" spans="1:16" x14ac:dyDescent="0.25">
      <c r="A59" s="29" t="s">
        <v>57</v>
      </c>
      <c r="B59" s="24" t="s">
        <v>526</v>
      </c>
      <c r="C59" s="24" t="s">
        <v>226</v>
      </c>
      <c r="P59" s="24">
        <f>(D38+E38+F38+G38+H38+I38+J38+K38+L38+M38+N38+O38)</f>
        <v>0</v>
      </c>
    </row>
    <row r="60" spans="1:16" x14ac:dyDescent="0.25">
      <c r="A60" s="29" t="s">
        <v>57</v>
      </c>
      <c r="B60" s="24" t="s">
        <v>527</v>
      </c>
      <c r="C60" s="24" t="s">
        <v>226</v>
      </c>
      <c r="P60" s="24">
        <f>(D39+E39+F39+G39+H39+I39+J39+K39+L39+M39+N39+O39)</f>
        <v>0</v>
      </c>
    </row>
    <row r="61" spans="1:16" x14ac:dyDescent="0.25">
      <c r="A61" s="29" t="s">
        <v>57</v>
      </c>
      <c r="B61" s="24" t="s">
        <v>528</v>
      </c>
      <c r="C61" s="24" t="s">
        <v>226</v>
      </c>
      <c r="P61" s="24">
        <f>(D40+E40+F40+G40+H40+I40+J40+K40+L40+M40+N40+O40)</f>
        <v>0</v>
      </c>
    </row>
  </sheetData>
  <mergeCells count="9">
    <mergeCell ref="A18:O18"/>
    <mergeCell ref="A24:O24"/>
    <mergeCell ref="A30:O30"/>
    <mergeCell ref="A36:O36"/>
    <mergeCell ref="A1:O1"/>
    <mergeCell ref="A2:O2"/>
    <mergeCell ref="A5:O5"/>
    <mergeCell ref="A8:O8"/>
    <mergeCell ref="A15:O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Instructions</vt:lpstr>
      <vt:lpstr>A - Acquisition &amp; Retention</vt:lpstr>
      <vt:lpstr>Phase B - Decision</vt:lpstr>
      <vt:lpstr>Phase C - Payments</vt:lpstr>
      <vt:lpstr>Phase D - Accounts Receivable</vt:lpstr>
      <vt:lpstr>Phase E - Write-Off</vt:lpstr>
      <vt:lpstr>Phase F - Recovery</vt:lpstr>
      <vt:lpstr>'A - Acquisition &amp; Retention'!Print_Titles</vt:lpstr>
      <vt:lpstr>'Phase B - Decision'!Print_Titles</vt:lpstr>
      <vt:lpstr>'Phase C - Payments'!Print_Titles</vt:lpstr>
      <vt:lpstr>'Phase D - Accounts Receivable'!Print_Titles</vt:lpstr>
      <vt:lpstr>'Phase E - Write-Off'!Print_Titles</vt:lpstr>
      <vt:lpstr>'Phase F - Recovery'!Print_Titles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Tony Clark</cp:lastModifiedBy>
  <cp:revision>0</cp:revision>
  <dcterms:created xsi:type="dcterms:W3CDTF">2026-03-28T20:57:14Z</dcterms:created>
  <dcterms:modified xsi:type="dcterms:W3CDTF">2026-04-22T18:44:03Z</dcterms:modified>
  <dc:language>en-US</dc:language>
</cp:coreProperties>
</file>