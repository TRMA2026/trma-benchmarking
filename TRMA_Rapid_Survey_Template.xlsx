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A - Acquisition &amp; Retention" sheetId="2" state="visible" r:id="rId4"/>
    <sheet name="Phase B - Decision" sheetId="3" state="visible" r:id="rId5"/>
    <sheet name="Phase C - Payments" sheetId="4" state="visible" r:id="rId6"/>
    <sheet name="Phase D - Accounts Receivable" sheetId="5" state="visible" r:id="rId7"/>
    <sheet name="Phase E - Write-Off" sheetId="6" state="visible" r:id="rId8"/>
    <sheet name="Phase F - Recovery" sheetId="7" state="visible" r:id="rId9"/>
  </sheets>
  <definedNames>
    <definedName function="false" hidden="false" localSheetId="1" name="_xlnm.Print_Titles" vbProcedure="false">'A - Acquisition &amp; Retention'!$4:$4</definedName>
    <definedName function="false" hidden="false" localSheetId="2" name="_xlnm.Print_Titles" vbProcedure="false">'Phase B - Decision'!$4:$4</definedName>
    <definedName function="false" hidden="false" localSheetId="3" name="_xlnm.Print_Titles" vbProcedure="false">'Phase C - Payments'!$4:$4</definedName>
    <definedName function="false" hidden="false" localSheetId="4" name="_xlnm.Print_Titles" vbProcedure="false">'Phase D - Accounts Receivable'!$4:$4</definedName>
    <definedName function="false" hidden="false" localSheetId="5" name="_xlnm.Print_Titles" vbProcedure="false">'Phase E - Write-Off'!$4:$4</definedName>
    <definedName function="false" hidden="false" localSheetId="6" name="_xlnm.Print_Titles" vbProcedure="false">'Phase F - Recovery'!$4:$4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<sst xmlns="http://schemas.openxmlformats.org/spreadsheetml/2006/main" count="953" uniqueCount="532">
  <si>
    <t xml:space="preserve">TRMA Rapid Survey — Data Entry Template</t>
  </si>
  <si>
    <t xml:space="preserve">This template is for entering raw operational data for the TRMA Benchmarking Rapid Survey.</t>
  </si>
  <si>
    <t xml:space="preserve">HOW TO USE THIS TEMPLATE:</t>
  </si>
  <si>
    <t xml:space="preserve">1. Each tab represents one phase of the credit lifecycle (A through F).</t>
  </si>
  <si>
    <t xml:space="preserve">2. Enter your data in the YELLOW cells for each month.</t>
  </si>
  <si>
    <t xml:space="preserve">3. Blue italic rows are auto-calculated — do NOT enter data there.</t>
  </si>
  <si>
    <t xml:space="preserve">4. Use 0 (zero) if the value is zero.</t>
  </si>
  <si>
    <t xml:space="preserve">5. Use NA if the metric is not applicable to your company.</t>
  </si>
  <si>
    <t xml:space="preserve">6. Do NOT leave cells blank — use 0 or NA.</t>
  </si>
  <si>
    <t xml:space="preserve">DATA TYPES:</t>
  </si>
  <si>
    <t xml:space="preserve">#  = Count (whole number)</t>
  </si>
  <si>
    <t xml:space="preserve">$  = Dollar amount</t>
  </si>
  <si>
    <t xml:space="preserve">Days = Number of days</t>
  </si>
  <si>
    <t xml:space="preserve">%  = Percentage (enter as decimal, e.g., 0.25 for 25%)</t>
  </si>
  <si>
    <t xml:space="preserve">PHASES:</t>
  </si>
  <si>
    <t xml:space="preserve">Phase A — Acquisition &amp; Retention: Applications, activations, deposits, active accounts</t>
  </si>
  <si>
    <t xml:space="preserve">Phase B — Decision: Never/non-pay rates, fraud, existing base monitoring</t>
  </si>
  <si>
    <t xml:space="preserve">Phase C — Payments: Billing methods, payment channels &amp; methods, reversals</t>
  </si>
  <si>
    <t xml:space="preserve">Phase D — Accounts Receivable: AR aging, DSO, roll rates, bad debt</t>
  </si>
  <si>
    <t xml:space="preserve">Phase E — Write-Off: Write-off distribution, churn, disconnect rates</t>
  </si>
  <si>
    <t xml:space="preserve">Phase F — Recovery: Placements, commissions, recovery rates, net back</t>
  </si>
  <si>
    <t xml:space="preserve">AFTER COMPLETING:</t>
  </si>
  <si>
    <t xml:space="preserve">Upload this file at: https://trma2026.github.io/trma-benchmarking/</t>
  </si>
  <si>
    <t xml:space="preserve">Your data will be submitted anonymously — no company name is stored.</t>
  </si>
  <si>
    <t xml:space="preserve">Questions? Contact the TRMA Executive Director.</t>
  </si>
  <si>
    <t xml:space="preserve">⚠ CURRENT COLLECTION PERIOD</t>
  </si>
  <si>
    <t xml:space="preserve">Currently collect Phase E — Write-Off data only. Please complete the Phase E tab and leave all other tabs blank.</t>
  </si>
  <si>
    <t xml:space="preserve">TRMA Rapid Survey — Phase A: Acquisition &amp; Retention</t>
  </si>
  <si>
    <t xml:space="preserve">Enter raw data in the yellow cells for each month. Blue italic rows are auto-calculated — do NOT enter values there. Use 0 for zero, NA if not applicable.</t>
  </si>
  <si>
    <t xml:space="preserve">Ref</t>
  </si>
  <si>
    <t xml:space="preserve">Data Item</t>
  </si>
  <si>
    <t xml:space="preserve">Type</t>
  </si>
  <si>
    <t xml:space="preserve">January</t>
  </si>
  <si>
    <t xml:space="preserve">February</t>
  </si>
  <si>
    <t xml:space="preserve">March</t>
  </si>
  <si>
    <t xml:space="preserve">April</t>
  </si>
  <si>
    <t xml:space="preserve">May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</si>
  <si>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</si>
  <si>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</si>
  <si>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</si>
  <si>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</si>
  <si>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</si>
  <si>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</si>
  <si>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</si>
  <si>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Annual Total</t>
  </si>
  <si>
    <t xml:space="preserve">Applications by Type</t>
  </si>
  <si>
    <t xml:space="preserve">1a</t>
  </si>
  <si>
    <t xml:space="preserve">Prime Applications</t>
  </si>
  <si>
    <t xml:space="preserve">#</t>
  </si>
  <si>
    <t xml:space="preserve">1b</t>
  </si>
  <si>
    <t xml:space="preserve">Subprime Applications</t>
  </si>
  <si>
    <t xml:space="preserve">1c</t>
  </si>
  <si>
    <t xml:space="preserve">No Hit Applications (Customer Initiated)</t>
  </si>
  <si>
    <t xml:space="preserve">1d</t>
  </si>
  <si>
    <t xml:space="preserve">Unscored Applications (Company Initiated)</t>
  </si>
  <si>
    <t xml:space="preserve">1.0</t>
  </si>
  <si>
    <t xml:space="preserve">► otal applications (auto-calculated)</t>
  </si>
  <si>
    <t xml:space="preserve">►</t>
  </si>
  <si>
    <t xml:space="preserve">► Section Total — Applications by Type (#)</t>
  </si>
  <si>
    <t xml:space="preserve">Applications by Sales Channel</t>
  </si>
  <si>
    <t xml:space="preserve">2a</t>
  </si>
  <si>
    <t xml:space="preserve">Direct - Retail Stores</t>
  </si>
  <si>
    <t xml:space="preserve">2b</t>
  </si>
  <si>
    <t xml:space="preserve">Direct - Direct Sales</t>
  </si>
  <si>
    <t xml:space="preserve">2c</t>
  </si>
  <si>
    <t xml:space="preserve">Direct - Call Centers</t>
  </si>
  <si>
    <t xml:space="preserve">2d</t>
  </si>
  <si>
    <t xml:space="preserve">Direct - Company Websites</t>
  </si>
  <si>
    <t xml:space="preserve">2e</t>
  </si>
  <si>
    <t xml:space="preserve">Direct - Other</t>
  </si>
  <si>
    <t xml:space="preserve">2.1</t>
  </si>
  <si>
    <t xml:space="preserve">► irect total (auto-calculated)</t>
  </si>
  <si>
    <t xml:space="preserve">2.2</t>
  </si>
  <si>
    <t xml:space="preserve">Indirect</t>
  </si>
  <si>
    <t xml:space="preserve">2.3</t>
  </si>
  <si>
    <t xml:space="preserve">Unknown</t>
  </si>
  <si>
    <t xml:space="preserve">2.0</t>
  </si>
  <si>
    <t xml:space="preserve">► otal applications by channel (auto-calculated)</t>
  </si>
  <si>
    <t xml:space="preserve">► Section Total — Apps by Channel (#)</t>
  </si>
  <si>
    <t xml:space="preserve">No Hits</t>
  </si>
  <si>
    <t xml:space="preserve">3.0</t>
  </si>
  <si>
    <t xml:space="preserve">Total No Hits</t>
  </si>
  <si>
    <t xml:space="preserve">3a</t>
  </si>
  <si>
    <t xml:space="preserve">Bureau No Hits</t>
  </si>
  <si>
    <t xml:space="preserve">3b</t>
  </si>
  <si>
    <t xml:space="preserve">Company No Hits</t>
  </si>
  <si>
    <t xml:space="preserve">► Section Total — No Hits (#)</t>
  </si>
  <si>
    <t xml:space="preserve">Manual Reviews</t>
  </si>
  <si>
    <t xml:space="preserve">4.0</t>
  </si>
  <si>
    <t xml:space="preserve">Total Manual Reviews</t>
  </si>
  <si>
    <t xml:space="preserve">4.1</t>
  </si>
  <si>
    <t xml:space="preserve">Manual Reviews - Direct</t>
  </si>
  <si>
    <t xml:space="preserve">4.2</t>
  </si>
  <si>
    <t xml:space="preserve">Manual Reviews - Indirect</t>
  </si>
  <si>
    <t xml:space="preserve">4.3</t>
  </si>
  <si>
    <t xml:space="preserve">Manual Reviews - Unknown</t>
  </si>
  <si>
    <t xml:space="preserve">5.0</t>
  </si>
  <si>
    <t xml:space="preserve">Manually Reviewed &amp; Rejected (Fraud)</t>
  </si>
  <si>
    <t xml:space="preserve">► Section Total — Manual Reviews (#)</t>
  </si>
  <si>
    <t xml:space="preserve">Risk Mitigation - Applications</t>
  </si>
  <si>
    <t xml:space="preserve">6.0</t>
  </si>
  <si>
    <t xml:space="preserve">Applications with Risk Mitigation (Total)</t>
  </si>
  <si>
    <t xml:space="preserve">6a</t>
  </si>
  <si>
    <t xml:space="preserve">Risk Mitigation - ID Verification</t>
  </si>
  <si>
    <t xml:space="preserve">6b</t>
  </si>
  <si>
    <t xml:space="preserve">Risk Mitigation - Address Verification</t>
  </si>
  <si>
    <t xml:space="preserve">6c</t>
  </si>
  <si>
    <t xml:space="preserve">Risk Mitigation - SSN Verification</t>
  </si>
  <si>
    <t xml:space="preserve">6d</t>
  </si>
  <si>
    <t xml:space="preserve">Risk Mitigation - Fraud Detection</t>
  </si>
  <si>
    <t xml:space="preserve">6e</t>
  </si>
  <si>
    <t xml:space="preserve">Risk Mitigation - Other</t>
  </si>
  <si>
    <t xml:space="preserve">7.0</t>
  </si>
  <si>
    <t xml:space="preserve">Rejected &amp; Risk Mitigated Applications</t>
  </si>
  <si>
    <t xml:space="preserve">► Section Total — Risk Mitigation Apps (#)</t>
  </si>
  <si>
    <t xml:space="preserve">Activations by Type</t>
  </si>
  <si>
    <t xml:space="preserve">8a</t>
  </si>
  <si>
    <t xml:space="preserve">Activations - Prime</t>
  </si>
  <si>
    <t xml:space="preserve">8b</t>
  </si>
  <si>
    <t xml:space="preserve">Activations - Subprime</t>
  </si>
  <si>
    <t xml:space="preserve">8c</t>
  </si>
  <si>
    <t xml:space="preserve">Activations - No Hit</t>
  </si>
  <si>
    <t xml:space="preserve">8d</t>
  </si>
  <si>
    <t xml:space="preserve">Activations - Unscored</t>
  </si>
  <si>
    <t xml:space="preserve">8.0</t>
  </si>
  <si>
    <t xml:space="preserve">► otal activations (auto-calculated)</t>
  </si>
  <si>
    <t xml:space="preserve">► Section Total — Activations by Type (#)</t>
  </si>
  <si>
    <t xml:space="preserve">Activations by Sales Channel</t>
  </si>
  <si>
    <t xml:space="preserve">9a</t>
  </si>
  <si>
    <t xml:space="preserve">Activations - Retail Stores</t>
  </si>
  <si>
    <t xml:space="preserve">9b</t>
  </si>
  <si>
    <t xml:space="preserve">Activations - Direct Sales</t>
  </si>
  <si>
    <t xml:space="preserve">9c</t>
  </si>
  <si>
    <t xml:space="preserve">Activations - Call Centers</t>
  </si>
  <si>
    <t xml:space="preserve">9d</t>
  </si>
  <si>
    <t xml:space="preserve">Activations - Company Websites</t>
  </si>
  <si>
    <t xml:space="preserve">9e</t>
  </si>
  <si>
    <t xml:space="preserve">Activations - Other Direct</t>
  </si>
  <si>
    <t xml:space="preserve">9.1</t>
  </si>
  <si>
    <t xml:space="preserve">► ctivations direct total (auto-calculated)</t>
  </si>
  <si>
    <t xml:space="preserve">9.2</t>
  </si>
  <si>
    <t xml:space="preserve">Activations - Indirect</t>
  </si>
  <si>
    <t xml:space="preserve">9.3</t>
  </si>
  <si>
    <t xml:space="preserve">Activations - Unknown</t>
  </si>
  <si>
    <t xml:space="preserve">9.0</t>
  </si>
  <si>
    <t xml:space="preserve">► otal activations by channel (auto-calculated)</t>
  </si>
  <si>
    <t xml:space="preserve">► Section Total — Activations by Channel (#)</t>
  </si>
  <si>
    <t xml:space="preserve">Risk Mitigation - Activations</t>
  </si>
  <si>
    <t xml:space="preserve">10.0</t>
  </si>
  <si>
    <t xml:space="preserve">Activations with Risk Mitigation (Total)</t>
  </si>
  <si>
    <t xml:space="preserve">10a</t>
  </si>
  <si>
    <t xml:space="preserve">Activation RM - ID Verification</t>
  </si>
  <si>
    <t xml:space="preserve">10b</t>
  </si>
  <si>
    <t xml:space="preserve">Activation RM - Address Verification</t>
  </si>
  <si>
    <t xml:space="preserve">10c</t>
  </si>
  <si>
    <t xml:space="preserve">Activation RM - SSN Verification</t>
  </si>
  <si>
    <t xml:space="preserve">10d</t>
  </si>
  <si>
    <t xml:space="preserve">Activation RM - Fraud Detection</t>
  </si>
  <si>
    <t xml:space="preserve">10e</t>
  </si>
  <si>
    <t xml:space="preserve">Activation RM - Other</t>
  </si>
  <si>
    <t xml:space="preserve">► Section Total — Risk Mitigation Activations (#)</t>
  </si>
  <si>
    <t xml:space="preserve">Security Deposits</t>
  </si>
  <si>
    <t xml:space="preserve">11a</t>
  </si>
  <si>
    <t xml:space="preserve">Security Deposit - Retail Stores</t>
  </si>
  <si>
    <t xml:space="preserve">11b</t>
  </si>
  <si>
    <t xml:space="preserve">Security Deposit - Direct Sales</t>
  </si>
  <si>
    <t xml:space="preserve">11c</t>
  </si>
  <si>
    <t xml:space="preserve">Security Deposit - Call Centers</t>
  </si>
  <si>
    <t xml:space="preserve">11d</t>
  </si>
  <si>
    <t xml:space="preserve">Security Deposit - Company Websites</t>
  </si>
  <si>
    <t xml:space="preserve">11e</t>
  </si>
  <si>
    <t xml:space="preserve">Security Deposit - Other Direct</t>
  </si>
  <si>
    <t xml:space="preserve">11.1</t>
  </si>
  <si>
    <t xml:space="preserve">► ecurity deposit direct total (auto-calculated)</t>
  </si>
  <si>
    <t xml:space="preserve">11.2</t>
  </si>
  <si>
    <t xml:space="preserve">Security Deposit - Indirect</t>
  </si>
  <si>
    <t xml:space="preserve">11.3</t>
  </si>
  <si>
    <t xml:space="preserve">Security Deposit - Unknown</t>
  </si>
  <si>
    <t xml:space="preserve">► Section Total — Security Deposits (#)</t>
  </si>
  <si>
    <t xml:space="preserve">Active Accounts by Credit Class</t>
  </si>
  <si>
    <t xml:space="preserve">12.1</t>
  </si>
  <si>
    <t xml:space="preserve">Prime Active Accounts</t>
  </si>
  <si>
    <t xml:space="preserve">12.2</t>
  </si>
  <si>
    <t xml:space="preserve">Subprime Active Accounts</t>
  </si>
  <si>
    <t xml:space="preserve">12.3</t>
  </si>
  <si>
    <t xml:space="preserve">Unscored Active - Customer Initiated</t>
  </si>
  <si>
    <t xml:space="preserve">12.4</t>
  </si>
  <si>
    <t xml:space="preserve">Unscored Active - Company Decision</t>
  </si>
  <si>
    <t xml:space="preserve">12.0</t>
  </si>
  <si>
    <t xml:space="preserve">► otal active accounts (auto-calculated)</t>
  </si>
  <si>
    <t xml:space="preserve">► Section Total — Active Accts by Credit Class (#)</t>
  </si>
  <si>
    <t xml:space="preserve">Active Accounts by Channel</t>
  </si>
  <si>
    <t xml:space="preserve">13a</t>
  </si>
  <si>
    <t xml:space="preserve">Active - Retail Stores</t>
  </si>
  <si>
    <t xml:space="preserve">13b</t>
  </si>
  <si>
    <t xml:space="preserve">Active - Direct Sales</t>
  </si>
  <si>
    <t xml:space="preserve">13c</t>
  </si>
  <si>
    <t xml:space="preserve">Active - Call Centers</t>
  </si>
  <si>
    <t xml:space="preserve">13d</t>
  </si>
  <si>
    <t xml:space="preserve">Active - Company Websites</t>
  </si>
  <si>
    <t xml:space="preserve">13e</t>
  </si>
  <si>
    <t xml:space="preserve">Active - Other Direct</t>
  </si>
  <si>
    <t xml:space="preserve">13.1</t>
  </si>
  <si>
    <t xml:space="preserve">► ctive direct total (auto-calculated)</t>
  </si>
  <si>
    <t xml:space="preserve">13.2</t>
  </si>
  <si>
    <t xml:space="preserve">Active - Indirect</t>
  </si>
  <si>
    <t xml:space="preserve">13.3</t>
  </si>
  <si>
    <t xml:space="preserve">Active - Unknown</t>
  </si>
  <si>
    <t xml:space="preserve">13.0</t>
  </si>
  <si>
    <t xml:space="preserve">► otal active accounts by channel (auto-calculated)</t>
  </si>
  <si>
    <t xml:space="preserve">► Section Total — Active Accts by Channel (#)</t>
  </si>
  <si>
    <t xml:space="preserve">Survival &amp; Disconnections</t>
  </si>
  <si>
    <t xml:space="preserve">14.0</t>
  </si>
  <si>
    <t xml:space="preserve">Activations from 6 Months Prior</t>
  </si>
  <si>
    <t xml:space="preserve">15.0</t>
  </si>
  <si>
    <t xml:space="preserve">Of Those, Still Active Today</t>
  </si>
  <si>
    <t xml:space="preserve">16a</t>
  </si>
  <si>
    <t xml:space="preserve">Involuntary Disconnections</t>
  </si>
  <si>
    <t xml:space="preserve">16b</t>
  </si>
  <si>
    <t xml:space="preserve">Voluntary Disconnections</t>
  </si>
  <si>
    <t xml:space="preserve">17.0</t>
  </si>
  <si>
    <t xml:space="preserve">Soft Disconnections</t>
  </si>
  <si>
    <t xml:space="preserve">► Section Total — Survival &amp; Disconnections (#)</t>
  </si>
  <si>
    <t xml:space="preserve">Revenue &amp; Credit Costs</t>
  </si>
  <si>
    <t xml:space="preserve">18.0</t>
  </si>
  <si>
    <t xml:space="preserve">Revenue at Risk</t>
  </si>
  <si>
    <t xml:space="preserve">$</t>
  </si>
  <si>
    <t xml:space="preserve">19.0</t>
  </si>
  <si>
    <t xml:space="preserve">Credit Costs</t>
  </si>
  <si>
    <t xml:space="preserve">► Section Total — Credit Costs ($)</t>
  </si>
  <si>
    <t xml:space="preserve">► Annual Total — Applications by Type (#)</t>
  </si>
  <si>
    <t xml:space="preserve">► Annual Total — Applications by Channel (#)</t>
  </si>
  <si>
    <t xml:space="preserve">► Annual Total — No Hits (#)</t>
  </si>
  <si>
    <t xml:space="preserve">► Annual Total — Manual Reviews (#)</t>
  </si>
  <si>
    <t xml:space="preserve">► Annual Total — Risk Mitigation Apps (#)</t>
  </si>
  <si>
    <t xml:space="preserve">► Annual Total — Activations by Type (#)</t>
  </si>
  <si>
    <t xml:space="preserve">► Annual Total — Activations by Channel (#)</t>
  </si>
  <si>
    <t xml:space="preserve">► Annual Total — Risk Mitigation Activations (#)</t>
  </si>
  <si>
    <t xml:space="preserve">► Annual Total — Security Deposits (#)</t>
  </si>
  <si>
    <t xml:space="preserve">► Annual Total — Active Accounts by Credit Class (#)</t>
  </si>
  <si>
    <t xml:space="preserve">► Annual Total — Active Accounts by Channel (#)</t>
  </si>
  <si>
    <t xml:space="preserve">► Annual Total — Survival &amp; Disconnections (#)</t>
  </si>
  <si>
    <t xml:space="preserve">► Annual Total — Revenue at Risk ($)</t>
  </si>
  <si>
    <t xml:space="preserve">► Annual Total — Credit Costs ($)</t>
  </si>
  <si>
    <t xml:space="preserve">TRMA Rapid Survey — Phase B: Decision</t>
  </si>
  <si>
    <t xml:space="preserve">Never/Non Pay</t>
  </si>
  <si>
    <t xml:space="preserve">20a</t>
  </si>
  <si>
    <t xml:space="preserve">Never Pay Accounts</t>
  </si>
  <si>
    <t xml:space="preserve">20b</t>
  </si>
  <si>
    <t xml:space="preserve">Non Pay Accounts</t>
  </si>
  <si>
    <t xml:space="preserve">Fraud</t>
  </si>
  <si>
    <t xml:space="preserve">21.0</t>
  </si>
  <si>
    <t xml:space="preserve">Fraud Accounts Detected</t>
  </si>
  <si>
    <t xml:space="preserve">22.0</t>
  </si>
  <si>
    <t xml:space="preserve">► Section Total — Fraud</t>
  </si>
  <si>
    <t xml:space="preserve">Existing Base</t>
  </si>
  <si>
    <t xml:space="preserve">23.0</t>
  </si>
  <si>
    <t xml:space="preserve">Total Existing Base Accounts</t>
  </si>
  <si>
    <t xml:space="preserve">24.0</t>
  </si>
  <si>
    <t xml:space="preserve">Existing Base Accounts Reviewed</t>
  </si>
  <si>
    <t xml:space="preserve">25.0</t>
  </si>
  <si>
    <t xml:space="preserve">Existing Base Actions Taken</t>
  </si>
  <si>
    <t xml:space="preserve">► Section Total — Existing Base</t>
  </si>
  <si>
    <t xml:space="preserve">► Annual Total — Never/Non Pay (#)</t>
  </si>
  <si>
    <t xml:space="preserve">► Annual Total — Fraud Accounts (#)</t>
  </si>
  <si>
    <t xml:space="preserve">► Annual Total — Fraud Losses ($)</t>
  </si>
  <si>
    <t xml:space="preserve">► Annual Total — Existing Base (#)</t>
  </si>
  <si>
    <t xml:space="preserve">TRMA Rapid Survey — Phase C: Payments</t>
  </si>
  <si>
    <t xml:space="preserve">Billing Method</t>
  </si>
  <si>
    <t xml:space="preserve">30a</t>
  </si>
  <si>
    <t xml:space="preserve">Billing - Electronic Only</t>
  </si>
  <si>
    <t xml:space="preserve">30b</t>
  </si>
  <si>
    <t xml:space="preserve">Billing - Paper Only</t>
  </si>
  <si>
    <t xml:space="preserve">30c</t>
  </si>
  <si>
    <t xml:space="preserve">Billing - Both Electronic &amp; Paper</t>
  </si>
  <si>
    <t xml:space="preserve">30d</t>
  </si>
  <si>
    <t xml:space="preserve">Billing - No Notification</t>
  </si>
  <si>
    <t xml:space="preserve">30e</t>
  </si>
  <si>
    <t xml:space="preserve">Billing - Other / Unknown</t>
  </si>
  <si>
    <t xml:space="preserve">30.0</t>
  </si>
  <si>
    <t xml:space="preserve">► otal accounts by billing method (auto-calculated)</t>
  </si>
  <si>
    <t xml:space="preserve">Payments by Channel</t>
  </si>
  <si>
    <t xml:space="preserve">31a</t>
  </si>
  <si>
    <t xml:space="preserve">Payments - Lockbox</t>
  </si>
  <si>
    <t xml:space="preserve">31b</t>
  </si>
  <si>
    <t xml:space="preserve">Payments - Phone VRU/IVR</t>
  </si>
  <si>
    <t xml:space="preserve">31c</t>
  </si>
  <si>
    <t xml:space="preserve">Payments - Phone Agent</t>
  </si>
  <si>
    <t xml:space="preserve">31d</t>
  </si>
  <si>
    <t xml:space="preserve">Payments - Autopay</t>
  </si>
  <si>
    <t xml:space="preserve">31e</t>
  </si>
  <si>
    <t xml:space="preserve">Payments - Retail Store</t>
  </si>
  <si>
    <t xml:space="preserve">31f</t>
  </si>
  <si>
    <t xml:space="preserve">Payments - Carrier Website</t>
  </si>
  <si>
    <t xml:space="preserve">31g</t>
  </si>
  <si>
    <t xml:space="preserve">Payments - Mobile App</t>
  </si>
  <si>
    <t xml:space="preserve">31h</t>
  </si>
  <si>
    <t xml:space="preserve">Payments - Bank Portal</t>
  </si>
  <si>
    <t xml:space="preserve">31i</t>
  </si>
  <si>
    <t xml:space="preserve">Payments - Third Party</t>
  </si>
  <si>
    <t xml:space="preserve">31k</t>
  </si>
  <si>
    <t xml:space="preserve">Payments - Other</t>
  </si>
  <si>
    <t xml:space="preserve">31.0</t>
  </si>
  <si>
    <t xml:space="preserve">► Section Total — Payments by Channel (#)</t>
  </si>
  <si>
    <t xml:space="preserve">Payments by Method</t>
  </si>
  <si>
    <t xml:space="preserve">33a</t>
  </si>
  <si>
    <t xml:space="preserve">EFT/ACH - Recurring</t>
  </si>
  <si>
    <t xml:space="preserve">33b</t>
  </si>
  <si>
    <t xml:space="preserve">EFT/ACH - One-Time</t>
  </si>
  <si>
    <t xml:space="preserve">33c</t>
  </si>
  <si>
    <t xml:space="preserve">Paper Check</t>
  </si>
  <si>
    <t xml:space="preserve">33d</t>
  </si>
  <si>
    <t xml:space="preserve">Debit Card - Recurring</t>
  </si>
  <si>
    <t xml:space="preserve">33e</t>
  </si>
  <si>
    <t xml:space="preserve">Debit Card - One-Time</t>
  </si>
  <si>
    <t xml:space="preserve">33f</t>
  </si>
  <si>
    <t xml:space="preserve">Credit Card - Recurring</t>
  </si>
  <si>
    <t xml:space="preserve">33g</t>
  </si>
  <si>
    <t xml:space="preserve">Credit Card - One-Time</t>
  </si>
  <si>
    <t xml:space="preserve">33.1</t>
  </si>
  <si>
    <t xml:space="preserve">► ebit/credit total (auto-calculated)</t>
  </si>
  <si>
    <t xml:space="preserve">33i</t>
  </si>
  <si>
    <t xml:space="preserve">Cash</t>
  </si>
  <si>
    <t xml:space="preserve">33j</t>
  </si>
  <si>
    <t xml:space="preserve">33.0</t>
  </si>
  <si>
    <t xml:space="preserve">► otal payments by method (auto-calculated)</t>
  </si>
  <si>
    <t xml:space="preserve">► Section Total — Payments by Method (#)</t>
  </si>
  <si>
    <t xml:space="preserve">Payment Reversals</t>
  </si>
  <si>
    <t xml:space="preserve">36a</t>
  </si>
  <si>
    <t xml:space="preserve">EFT/ACH Reversals</t>
  </si>
  <si>
    <t xml:space="preserve">36b</t>
  </si>
  <si>
    <t xml:space="preserve">Paper Check Reversals</t>
  </si>
  <si>
    <t xml:space="preserve">36c</t>
  </si>
  <si>
    <t xml:space="preserve">Debit Card Reversals</t>
  </si>
  <si>
    <t xml:space="preserve">36d</t>
  </si>
  <si>
    <t xml:space="preserve">Credit Card Reversals</t>
  </si>
  <si>
    <t xml:space="preserve">► Section Total — Payment Reversals (#)</t>
  </si>
  <si>
    <t xml:space="preserve">► Annual Total — Billing Method (#)</t>
  </si>
  <si>
    <t xml:space="preserve">► Annual Total — Payments by Channel (#)</t>
  </si>
  <si>
    <t xml:space="preserve">► Annual Total — Payments by Method (#)</t>
  </si>
  <si>
    <t xml:space="preserve">► Annual Total — Payment Reversals (#)</t>
  </si>
  <si>
    <t xml:space="preserve">TRMA Rapid Survey — Phase D: Accounts Receivable</t>
  </si>
  <si>
    <t xml:space="preserve">AR Revenue</t>
  </si>
  <si>
    <t xml:space="preserve">40</t>
  </si>
  <si>
    <t xml:space="preserve">Total Revenue Billed</t>
  </si>
  <si>
    <t xml:space="preserve">40.1</t>
  </si>
  <si>
    <t xml:space="preserve">Average Monthly Revenue</t>
  </si>
  <si>
    <t xml:space="preserve">41.0</t>
  </si>
  <si>
    <t xml:space="preserve">Total Recoveries</t>
  </si>
  <si>
    <t xml:space="preserve">42</t>
  </si>
  <si>
    <t xml:space="preserve">Total Write-Off Dollars</t>
  </si>
  <si>
    <t xml:space="preserve">46</t>
  </si>
  <si>
    <t xml:space="preserve">Number of Days in Period</t>
  </si>
  <si>
    <t xml:space="preserve">Days</t>
  </si>
  <si>
    <t xml:space="preserve">AR Portfolio - Dollar Value</t>
  </si>
  <si>
    <t xml:space="preserve">43a</t>
  </si>
  <si>
    <t xml:space="preserve">AR $ Current</t>
  </si>
  <si>
    <t xml:space="preserve">43b</t>
  </si>
  <si>
    <t xml:space="preserve">AR $ 1-30 DPD</t>
  </si>
  <si>
    <t xml:space="preserve">43c</t>
  </si>
  <si>
    <t xml:space="preserve">AR $ 31-60 DPD</t>
  </si>
  <si>
    <t xml:space="preserve">43d</t>
  </si>
  <si>
    <t xml:space="preserve">AR $ 61-90 DPD</t>
  </si>
  <si>
    <t xml:space="preserve">43e</t>
  </si>
  <si>
    <t xml:space="preserve">AR $ 91+ DPD</t>
  </si>
  <si>
    <t xml:space="preserve">43</t>
  </si>
  <si>
    <t xml:space="preserve">► Section Total — AR Portfolio $ ($)</t>
  </si>
  <si>
    <t xml:space="preserve">AR Portfolio - Account Count</t>
  </si>
  <si>
    <t xml:space="preserve">45a</t>
  </si>
  <si>
    <t xml:space="preserve">AR # Current</t>
  </si>
  <si>
    <t xml:space="preserve">45b</t>
  </si>
  <si>
    <t xml:space="preserve">AR # 1-30 DPD</t>
  </si>
  <si>
    <t xml:space="preserve">45c</t>
  </si>
  <si>
    <t xml:space="preserve">AR # 31-60 DPD</t>
  </si>
  <si>
    <t xml:space="preserve">45d</t>
  </si>
  <si>
    <t xml:space="preserve">AR # 61-90 DPD</t>
  </si>
  <si>
    <t xml:space="preserve">45e</t>
  </si>
  <si>
    <t xml:space="preserve">45</t>
  </si>
  <si>
    <t xml:space="preserve">► otal ar account COUNT(auto-calculated)</t>
  </si>
  <si>
    <t xml:space="preserve">► Section Total — AR Portfolio # (#)</t>
  </si>
  <si>
    <t xml:space="preserve">Promises</t>
  </si>
  <si>
    <t xml:space="preserve">47</t>
  </si>
  <si>
    <t xml:space="preserve">Promises Made</t>
  </si>
  <si>
    <t xml:space="preserve">48</t>
  </si>
  <si>
    <t xml:space="preserve">Promises Kept</t>
  </si>
  <si>
    <t xml:space="preserve">► Section Total — Promises (#)</t>
  </si>
  <si>
    <t xml:space="preserve">► Annual Total — Revenue Billed ($)</t>
  </si>
  <si>
    <t xml:space="preserve">► Annual Total — Total Recoveries ($)</t>
  </si>
  <si>
    <t xml:space="preserve">► Annual Total — Write-Off Dollars ($)</t>
  </si>
  <si>
    <t xml:space="preserve">► Annual Total — AR Portfolio $ Value ($)</t>
  </si>
  <si>
    <t xml:space="preserve">► Annual Total — AR Portfolio # Accounts (#)</t>
  </si>
  <si>
    <t xml:space="preserve">► Annual Total — Promises Made (#)</t>
  </si>
  <si>
    <t xml:space="preserve">► Annual Total — Promises Kept (#)</t>
  </si>
  <si>
    <t xml:space="preserve">TRMA Rapid Survey — Phase E: Write-Off</t>
  </si>
  <si>
    <t xml:space="preserve">Write-Off $ by Type</t>
  </si>
  <si>
    <t xml:space="preserve">50a</t>
  </si>
  <si>
    <t xml:space="preserve">Write-Off $ Voluntary</t>
  </si>
  <si>
    <t xml:space="preserve">50b</t>
  </si>
  <si>
    <t xml:space="preserve">Write-Off $ Involuntary</t>
  </si>
  <si>
    <t xml:space="preserve">50c</t>
  </si>
  <si>
    <t xml:space="preserve">Write-Off $ Other/Unknown</t>
  </si>
  <si>
    <t xml:space="preserve">50</t>
  </si>
  <si>
    <t xml:space="preserve">► otal write-off dollars (by type) (auto-calculated)</t>
  </si>
  <si>
    <t xml:space="preserve">► Section Total — Write-Off $ by Type ($)</t>
  </si>
  <si>
    <t xml:space="preserve">► Annual Total — Write-Off $ by Type</t>
  </si>
  <si>
    <t xml:space="preserve">Write-Off $ by Reason</t>
  </si>
  <si>
    <t xml:space="preserve">52a</t>
  </si>
  <si>
    <t xml:space="preserve">Write-Off $ Non Pay</t>
  </si>
  <si>
    <t xml:space="preserve">52b</t>
  </si>
  <si>
    <t xml:space="preserve">Write-Off $ Never Pay</t>
  </si>
  <si>
    <t xml:space="preserve">52c</t>
  </si>
  <si>
    <t xml:space="preserve">52</t>
  </si>
  <si>
    <t xml:space="preserve">► otal write-off dollars (by reason) (auto-calculated)</t>
  </si>
  <si>
    <t xml:space="preserve">► Section Total — Write-Off $ by Reason ($)</t>
  </si>
  <si>
    <t xml:space="preserve">► Annual Total — Write-Off $ by Reason</t>
  </si>
  <si>
    <t xml:space="preserve">Write-Off # by Type</t>
  </si>
  <si>
    <t xml:space="preserve">49a</t>
  </si>
  <si>
    <t xml:space="preserve">Write-Off # Voluntary</t>
  </si>
  <si>
    <t xml:space="preserve">49b</t>
  </si>
  <si>
    <t xml:space="preserve">Write-Off # Involuntary</t>
  </si>
  <si>
    <t xml:space="preserve">49c</t>
  </si>
  <si>
    <t xml:space="preserve">Write-Off # Other/Unknown</t>
  </si>
  <si>
    <t xml:space="preserve">49</t>
  </si>
  <si>
    <t xml:space="preserve">► otal write-off accounts (by type) (auto-calculated)</t>
  </si>
  <si>
    <t xml:space="preserve">► Section Total — Write-Off # by Type (#)</t>
  </si>
  <si>
    <t xml:space="preserve">► Annual Total — Write-Off # by Type</t>
  </si>
  <si>
    <t xml:space="preserve">Write-Off # by Reason</t>
  </si>
  <si>
    <t xml:space="preserve">51a</t>
  </si>
  <si>
    <t xml:space="preserve">Write-Off # Non Pay</t>
  </si>
  <si>
    <t xml:space="preserve">51b</t>
  </si>
  <si>
    <t xml:space="preserve">Write-Off # Never Pay</t>
  </si>
  <si>
    <t xml:space="preserve">51c</t>
  </si>
  <si>
    <t xml:space="preserve">51</t>
  </si>
  <si>
    <t xml:space="preserve">► otal write-off accounts (by reason) (auto-calculated)</t>
  </si>
  <si>
    <t xml:space="preserve">► Section Total — Write-Off # by Reason (#)</t>
  </si>
  <si>
    <t xml:space="preserve">► Annual Total — Write-Off # by Reason</t>
  </si>
  <si>
    <t xml:space="preserve">Write-Off Details</t>
  </si>
  <si>
    <t xml:space="preserve">53a</t>
  </si>
  <si>
    <t xml:space="preserve">Write-Off Balance $ Non Pay</t>
  </si>
  <si>
    <t xml:space="preserve">53b</t>
  </si>
  <si>
    <t xml:space="preserve">Write-Off Balance $ Never Pay</t>
  </si>
  <si>
    <t xml:space="preserve">53c</t>
  </si>
  <si>
    <t xml:space="preserve">Write-Off Balance $ Other/Unknown</t>
  </si>
  <si>
    <t xml:space="preserve">► Section Total — Write-Off Balance $ ($)</t>
  </si>
  <si>
    <t xml:space="preserve">53</t>
  </si>
  <si>
    <t xml:space="preserve">Write-Off Lag (Days)</t>
  </si>
  <si>
    <t xml:space="preserve">54</t>
  </si>
  <si>
    <t xml:space="preserve">Write-Offs with Unreturned Equipment</t>
  </si>
  <si>
    <t xml:space="preserve">► Annual Total — Write-Off Balance $</t>
  </si>
  <si>
    <t xml:space="preserve">TRMA Rapid Survey — Phase F: Recovery</t>
  </si>
  <si>
    <t xml:space="preserve">Placement Overview</t>
  </si>
  <si>
    <t xml:space="preserve">60.0</t>
  </si>
  <si>
    <t xml:space="preserve">Total Accounts Placed for Recovery</t>
  </si>
  <si>
    <t xml:space="preserve">61</t>
  </si>
  <si>
    <t xml:space="preserve">Minimum Balance Placed</t>
  </si>
  <si>
    <t xml:space="preserve">Account Tenure at Placement</t>
  </si>
  <si>
    <t xml:space="preserve">62a</t>
  </si>
  <si>
    <t xml:space="preserve">Tenure at Placement: 0-6 Months</t>
  </si>
  <si>
    <t xml:space="preserve">62b</t>
  </si>
  <si>
    <t xml:space="preserve">Tenure at Placement: 7-12 Months</t>
  </si>
  <si>
    <t xml:space="preserve">62c</t>
  </si>
  <si>
    <t xml:space="preserve">Tenure at Placement: 13-18 Months</t>
  </si>
  <si>
    <t xml:space="preserve">62d</t>
  </si>
  <si>
    <t xml:space="preserve">Tenure at Placement: 19-24 Months</t>
  </si>
  <si>
    <t xml:space="preserve">62e</t>
  </si>
  <si>
    <t xml:space="preserve">Tenure at Placement: 25+ Months</t>
  </si>
  <si>
    <t xml:space="preserve">62</t>
  </si>
  <si>
    <t xml:space="preserve">► Section Total — Account Tenure (#)</t>
  </si>
  <si>
    <t xml:space="preserve">Placement Timing</t>
  </si>
  <si>
    <t xml:space="preserve">64a</t>
  </si>
  <si>
    <t xml:space="preserve">64b</t>
  </si>
  <si>
    <t xml:space="preserve">Avg Days Past Disconnect at Placement</t>
  </si>
  <si>
    <t xml:space="preserve">1st Assignment</t>
  </si>
  <si>
    <t xml:space="preserve">65.1</t>
  </si>
  <si>
    <t xml:space="preserve">1st Assignment: # Accounts Placed</t>
  </si>
  <si>
    <t xml:space="preserve">65.2</t>
  </si>
  <si>
    <t xml:space="preserve">1st Assignment: $ Placed</t>
  </si>
  <si>
    <t xml:space="preserve">65.3</t>
  </si>
  <si>
    <t xml:space="preserve">1st Assignment: $ Recovered</t>
  </si>
  <si>
    <t xml:space="preserve">65.4</t>
  </si>
  <si>
    <t xml:space="preserve">► Section Total — 1st Assignment $ ($)</t>
  </si>
  <si>
    <t xml:space="preserve">65.5</t>
  </si>
  <si>
    <t xml:space="preserve">1st Assignment: Commission Rate</t>
  </si>
  <si>
    <t xml:space="preserve">%</t>
  </si>
  <si>
    <t xml:space="preserve">2nd Assignment</t>
  </si>
  <si>
    <t xml:space="preserve">66.1</t>
  </si>
  <si>
    <t xml:space="preserve">2nd Assignment: # Accounts Placed</t>
  </si>
  <si>
    <t xml:space="preserve">66.2</t>
  </si>
  <si>
    <t xml:space="preserve">2nd Assignment: $ Placed</t>
  </si>
  <si>
    <t xml:space="preserve">66.3</t>
  </si>
  <si>
    <t xml:space="preserve">66.4</t>
  </si>
  <si>
    <t xml:space="preserve">2nd Assignment: $ Returned to Client</t>
  </si>
  <si>
    <t xml:space="preserve">► Section Total — 2nd Assignment $ ($)</t>
  </si>
  <si>
    <t xml:space="preserve">66.5</t>
  </si>
  <si>
    <t xml:space="preserve">2nd Assignment: Commission Rate</t>
  </si>
  <si>
    <t xml:space="preserve">3rd Assignment</t>
  </si>
  <si>
    <t xml:space="preserve">67.1</t>
  </si>
  <si>
    <t xml:space="preserve">3rd Assignment: # Accounts Placed</t>
  </si>
  <si>
    <t xml:space="preserve">67.2</t>
  </si>
  <si>
    <t xml:space="preserve">67.3</t>
  </si>
  <si>
    <t xml:space="preserve">3rd Assignment: $ Recovered</t>
  </si>
  <si>
    <t xml:space="preserve">67.4</t>
  </si>
  <si>
    <t xml:space="preserve">3rd Assignment: $ Returned to Client</t>
  </si>
  <si>
    <t xml:space="preserve">► Section Total — 3rd Assignment $ ($)</t>
  </si>
  <si>
    <t xml:space="preserve">67.5</t>
  </si>
  <si>
    <t xml:space="preserve">3rd Assignment: Commission Rate</t>
  </si>
  <si>
    <t xml:space="preserve">Warehouse Assignment</t>
  </si>
  <si>
    <t xml:space="preserve">68.1</t>
  </si>
  <si>
    <t xml:space="preserve">Warehouse: # Accounts Placed</t>
  </si>
  <si>
    <t xml:space="preserve">68.2</t>
  </si>
  <si>
    <t xml:space="preserve">Warehouse: $ Placed</t>
  </si>
  <si>
    <t xml:space="preserve">68.3</t>
  </si>
  <si>
    <t xml:space="preserve">Warehouse: $ Recovered</t>
  </si>
  <si>
    <t xml:space="preserve">68.4</t>
  </si>
  <si>
    <t xml:space="preserve">Warehouse: $ Returned to Client</t>
  </si>
  <si>
    <t xml:space="preserve">► Section Total — Warehouse $ ($)</t>
  </si>
  <si>
    <t xml:space="preserve">68.5</t>
  </si>
  <si>
    <t xml:space="preserve">Warehouse: Commission Rate</t>
  </si>
  <si>
    <t xml:space="preserve">► Annual Total — Accounts Placed (#)</t>
  </si>
  <si>
    <t xml:space="preserve">► Annual Total — Account Tenure at Placement (#)</t>
  </si>
  <si>
    <t xml:space="preserve">► Annual Total — 1st Assignment Placed ($)</t>
  </si>
  <si>
    <t xml:space="preserve">► Annual Total — 1st Assignment Recovered ($)</t>
  </si>
  <si>
    <t xml:space="preserve">► Annual Total — 1st Assignment Returned ($)</t>
  </si>
  <si>
    <t xml:space="preserve">► Annual Total — 2nd Assignment Placed ($)</t>
  </si>
  <si>
    <t xml:space="preserve">► Annual Total — 2nd Assignment Recovered ($)</t>
  </si>
  <si>
    <t xml:space="preserve">► Annual Total — 2nd Assignment Returned ($)</t>
  </si>
  <si>
    <t xml:space="preserve">► Annual Total — 3rd Assignment Placed ($)</t>
  </si>
  <si>
    <t xml:space="preserve">► Annual Total — 3rd Assignment Recovered ($)</t>
  </si>
  <si>
    <t xml:space="preserve">► Annual Total — 3rd Assignment Returned ($)</t>
  </si>
  <si>
    <t xml:space="preserve">► Annual Total — Warehouse Placed ($)</t>
  </si>
  <si>
    <t xml:space="preserve">► Annual Total — Warehouse Recovered ($)</t>
  </si>
  <si>
    <t xml:space="preserve">► Annual Total — Warehouse Returned ($)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</si>
</sst>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General"/>
    <numFmt numFmtId="167" formatCode="\$#,##0"/>
    <numFmt numFmtId="168" formatCode="#,##0.0"/>
    <numFmt numFmtId="169" formatCode="0.0%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3A5C"/>
      <name val="Arial"/>
      <family val="0"/>
      <charset val="1"/>
    </font>
    <font>
      <sz val="11"/>
      <name val="Arial"/>
      <family val="0"/>
      <charset val="1"/>
    </font>
    <font>
      <b val="true"/>
      <sz val="12"/>
      <color rgb="FF1B3A5C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1B3A5C"/>
      <name val="Cambria"/>
      <family val="0"/>
      <charset val="1"/>
    </font>
    <font>
      <i val="true"/>
      <sz val="11"/>
      <color rgb="FF8B4000"/>
      <name val="Cambria"/>
      <family val="0"/>
      <charset val="1"/>
    </font>
    <font>
      <b val="true"/>
      <sz val="14"/>
      <color rgb="FF1B3A5C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0"/>
      <color rgb="FF1B3A5C"/>
      <name val="Arial"/>
      <family val="0"/>
      <charset val="1"/>
    </font>
    <font>
      <sz val="9"/>
      <color rgb="FF888888"/>
      <name val="Arial"/>
      <family val="0"/>
      <charset val="1"/>
    </font>
    <font>
      <sz val="10"/>
      <color rgb="FF333333"/>
      <name val="Arial"/>
      <family val="0"/>
      <charset val="1"/>
    </font>
    <font>
      <i val="true"/>
      <sz val="9"/>
      <color rgb="FF2176BC"/>
      <name val="Arial"/>
      <family val="0"/>
      <charset val="1"/>
    </font>
    <font>
      <i val="true"/>
      <sz val="10"/>
      <color rgb="FF2176BC"/>
      <name val="Arial"/>
      <family val="0"/>
      <charset val="1"/>
    </font>
    <font>
      <b val="true"/>
      <sz val="11"/>
      <color rgb="FF2176BC"/>
      <name val="Cambria"/>
      <family val="0"/>
      <charset val="1"/>
    </font>
    <font>
      <b val="true"/>
      <i val="true"/>
      <sz val="11"/>
      <color rgb="FF2176BC"/>
      <name val="Cambria"/>
      <family val="0"/>
      <charset val="1"/>
    </font>
    <font>
      <b val="true"/>
      <sz val="11"/>
      <color rgb="FFC9A227"/>
      <name val="Cambria"/>
      <family val="0"/>
      <charset val="1"/>
    </font>
    <font>
      <i val="true"/>
      <sz val="11"/>
      <color rgb="FF2176BC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3CD"/>
        <bgColor rgb="FFFFF0D0"/>
      </patternFill>
    </fill>
    <fill>
      <patternFill patternType="solid">
        <fgColor rgb="FF1B3A5C"/>
        <bgColor rgb="FF333333"/>
      </patternFill>
    </fill>
    <fill>
      <patternFill patternType="solid">
        <fgColor rgb="FFC9A227"/>
        <bgColor rgb="FF99CC00"/>
      </patternFill>
    </fill>
    <fill>
      <patternFill patternType="solid">
        <fgColor rgb="FFE8F0FE"/>
        <bgColor rgb="FFD6E4F0"/>
      </patternFill>
    </fill>
    <fill>
      <patternFill patternType="solid">
        <fgColor rgb="FFFFFFCC"/>
        <bgColor rgb="FFFFF3CD"/>
      </patternFill>
    </fill>
    <fill>
      <patternFill patternType="solid">
        <fgColor rgb="FFD6E4F0"/>
        <bgColor rgb="FFE8F0FE"/>
      </patternFill>
    </fill>
    <fill>
      <patternFill patternType="solid">
        <fgColor rgb="FFFFF0D0"/>
        <bgColor rgb="FFFFF3CD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/>
      <right/>
      <top style="thin">
        <color rgb="FFCCCCCC"/>
      </top>
      <bottom style="thin">
        <color rgb="FFCCCCCC"/>
      </bottom>
      <diagonal/>
    </border>
    <border diagonalUp="false" diagonalDown="false"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6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9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6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6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6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FCC"/>
      <rgbColor rgb="FFE8F0FE"/>
      <rgbColor rgb="FF660066"/>
      <rgbColor rgb="FFFF8080"/>
      <rgbColor rgb="FF2176B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FF0D0"/>
      <rgbColor rgb="FFFFF3CD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9A227"/>
      <rgbColor rgb="FFFF6600"/>
      <rgbColor rgb="FF666666"/>
      <rgbColor rgb="FF969696"/>
      <rgbColor rgb="FF1B3A5C"/>
      <rgbColor rgb="FF339966"/>
      <rgbColor rgb="FF003300"/>
      <rgbColor rgb="FF333300"/>
      <rgbColor rgb="FF8B40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3A5C"/>
    <pageSetUpPr fitToPage="false"/>
  </sheetPr>
  <dimension ref="A1:A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0"/>
  </cols>
  <sheetData>
    <row r="1" customFormat="false" ht="19.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</row>
    <row r="5" customFormat="false" ht="15" hidden="false" customHeight="true" outlineLevel="0" collapsed="false">
      <c r="A5" s="4" t="s">
        <v>2</v>
      </c>
    </row>
    <row r="6" customFormat="false" ht="15" hidden="false" customHeight="true" outlineLevel="0" collapsed="false">
      <c r="A6" s="3" t="s">
        <v>3</v>
      </c>
    </row>
    <row r="7" customFormat="false" ht="15" hidden="false" customHeight="true" outlineLevel="0" collapsed="false">
      <c r="A7" s="3" t="s">
        <v>4</v>
      </c>
    </row>
    <row r="8" customFormat="false" ht="15" hidden="false" customHeight="true" outlineLevel="0" collapsed="false">
      <c r="A8" s="3" t="s">
        <v>5</v>
      </c>
    </row>
    <row r="9" customFormat="false" ht="15" hidden="false" customHeight="true" outlineLevel="0" collapsed="false">
      <c r="A9" s="3" t="s">
        <v>6</v>
      </c>
    </row>
    <row r="10" customFormat="false" ht="15" hidden="false" customHeight="true" outlineLevel="0" collapsed="false">
      <c r="A10" s="3" t="s">
        <v>7</v>
      </c>
    </row>
    <row r="11" customFormat="false" ht="15" hidden="false" customHeight="true" outlineLevel="0" collapsed="false">
      <c r="A11" s="3" t="s">
        <v>8</v>
      </c>
    </row>
    <row r="13" customFormat="false" ht="15" hidden="false" customHeight="true" outlineLevel="0" collapsed="false">
      <c r="A13" s="4" t="s">
        <v>9</v>
      </c>
    </row>
    <row r="14" customFormat="false" ht="15" hidden="false" customHeight="true" outlineLevel="0" collapsed="false">
      <c r="A14" s="3" t="s">
        <v>10</v>
      </c>
    </row>
    <row r="15" customFormat="false" ht="15" hidden="false" customHeight="true" outlineLevel="0" collapsed="false">
      <c r="A15" s="3" t="s">
        <v>11</v>
      </c>
    </row>
    <row r="16" customFormat="false" ht="15" hidden="false" customHeight="true" outlineLevel="0" collapsed="false">
      <c r="A16" s="3" t="s">
        <v>12</v>
      </c>
    </row>
    <row r="17" customFormat="false" ht="15" hidden="false" customHeight="true" outlineLevel="0" collapsed="false">
      <c r="A17" s="3" t="s">
        <v>13</v>
      </c>
    </row>
    <row r="19" customFormat="false" ht="15" hidden="false" customHeight="true" outlineLevel="0" collapsed="false">
      <c r="A19" s="4" t="s">
        <v>14</v>
      </c>
    </row>
    <row r="20" customFormat="false" ht="15" hidden="false" customHeight="true" outlineLevel="0" collapsed="false">
      <c r="A20" s="3" t="s">
        <v>15</v>
      </c>
    </row>
    <row r="21" customFormat="false" ht="15" hidden="false" customHeight="true" outlineLevel="0" collapsed="false">
      <c r="A21" s="3" t="s">
        <v>16</v>
      </c>
    </row>
    <row r="22" customFormat="false" ht="15" hidden="false" customHeight="true" outlineLevel="0" collapsed="false">
      <c r="A22" s="3" t="s">
        <v>17</v>
      </c>
    </row>
    <row r="23" customFormat="false" ht="15" hidden="false" customHeight="true" outlineLevel="0" collapsed="false">
      <c r="A23" s="3" t="s">
        <v>18</v>
      </c>
    </row>
    <row r="24" customFormat="false" ht="15" hidden="false" customHeight="true" outlineLevel="0" collapsed="false">
      <c r="A24" s="3" t="s">
        <v>19</v>
      </c>
    </row>
    <row r="25" customFormat="false" ht="15" hidden="false" customHeight="true" outlineLevel="0" collapsed="false">
      <c r="A25" s="3" t="s">
        <v>20</v>
      </c>
    </row>
    <row r="27" customFormat="false" ht="15" hidden="false" customHeight="true" outlineLevel="0" collapsed="false">
      <c r="A27" s="4" t="s">
        <v>21</v>
      </c>
    </row>
    <row r="28" customFormat="false" ht="15" hidden="false" customHeight="true" outlineLevel="0" collapsed="false">
      <c r="A28" s="3" t="s">
        <v>22</v>
      </c>
    </row>
    <row r="29" customFormat="false" ht="15" hidden="false" customHeight="true" outlineLevel="0" collapsed="false">
      <c r="A29" s="3" t="s">
        <v>23</v>
      </c>
    </row>
    <row r="31" customFormat="false" ht="15" hidden="false" customHeight="true" outlineLevel="0" collapsed="false">
      <c r="A31" s="5" t="s">
        <v>24</v>
      </c>
    </row>
    <row r="33" customFormat="false" ht="15" hidden="false" customHeight="true" outlineLevel="0" collapsed="false">
      <c r="A33" s="6" t="s">
        <v>25</v>
      </c>
    </row>
    <row r="34" customFormat="false" ht="15" hidden="false" customHeight="true" outlineLevel="0" collapsed="false">
      <c r="A34" s="7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1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5"/>
    <col collapsed="false" customWidth="true" hidden="false" outlineLevel="0" max="3" min="3" style="1" width="10"/>
    <col collapsed="false" customWidth="true" hidden="false" outlineLevel="0" max="15" min="4" style="1" width="14"/>
    <col collapsed="false" customWidth="true" hidden="false" outlineLevel="0" max="16" min="16" style="1" width="16"/>
  </cols>
  <sheetData>
    <row r="1" customFormat="false" ht="30" hidden="false" customHeight="true" outlineLevel="0" collapsed="false">
      <c r="A1" s="8" t="s">
        <v>27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</row>
    <row r="2" customFormat="false" ht="19.5" hidden="false" customHeight="true" outlineLevel="0" collapsed="false">
      <c r="A2" s="9" t="s">
        <v>28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4" customFormat="false" ht="24.75" hidden="false" customHeight="true" outlineLevel="0" collapsed="false">
      <c r="A4" s="10" t="s">
        <v>29</v>
      </c>
      <c r="B4" s="10" t="s">
        <v>30</v>
      </c>
      <c r="C4" s="10" t="s">
        <v>31</v>
      </c>
      <c r="D4" s="10" t="s">
        <v>32</v>
      </c>
      <c r="E4" s="10" t="s">
        <v>33</v>
      </c>
      <c r="F4" s="10" t="s">
        <v>34</v>
      </c>
      <c r="G4" s="10" t="s">
        <v>35</v>
      </c>
      <c r="H4" s="10" t="s">
        <v>36</v>
      </c>
      <c r="I4" s="10" t="s">
        <v>37</v>
      </c>
      <c r="J4" s="10" t="s">
        <v>38</v>
      </c>
      <c r="K4" s="10" t="s">
        <v>39</v>
      </c>
      <c r="L4" s="10" t="s">
        <v>40</v>
      </c>
      <c r="M4" s="10" t="s">
        <v>41</v>
      </c>
      <c r="N4" s="10" t="s">
        <v>42</v>
      </c>
      <c r="O4" s="10" t="s">
        <v>43</v>
      </c>
      <c r="P4" s="11" t="s">
        <v>44</v>
      </c>
    </row>
    <row r="5" customFormat="false" ht="21.75" hidden="false" customHeight="true" outlineLevel="0" collapsed="false">
      <c r="A5" s="12" t="s">
        <v>45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</row>
    <row r="6" customFormat="false" ht="19.5" hidden="false" customHeight="true" outlineLevel="0" collapsed="false">
      <c r="A6" s="13" t="s">
        <v>46</v>
      </c>
      <c r="B6" s="14" t="s">
        <v>47</v>
      </c>
      <c r="C6" s="13" t="s">
        <v>48</v>
      </c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</row>
    <row r="7" customFormat="false" ht="19.5" hidden="false" customHeight="true" outlineLevel="0" collapsed="false">
      <c r="A7" s="13" t="s">
        <v>49</v>
      </c>
      <c r="B7" s="14" t="s">
        <v>50</v>
      </c>
      <c r="C7" s="13" t="s">
        <v>48</v>
      </c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</row>
    <row r="8" customFormat="false" ht="19.5" hidden="false" customHeight="true" outlineLevel="0" collapsed="false">
      <c r="A8" s="13" t="s">
        <v>51</v>
      </c>
      <c r="B8" s="14" t="s">
        <v>52</v>
      </c>
      <c r="C8" s="13" t="s">
        <v>48</v>
      </c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</row>
    <row r="9" customFormat="false" ht="19.5" hidden="false" customHeight="true" outlineLevel="0" collapsed="false">
      <c r="A9" s="13" t="s">
        <v>53</v>
      </c>
      <c r="B9" s="14" t="s">
        <v>54</v>
      </c>
      <c r="C9" s="13" t="s">
        <v>48</v>
      </c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</row>
    <row r="10" customFormat="false" ht="19.5" hidden="false" customHeight="true" outlineLevel="0" collapsed="false">
      <c r="A10" s="16" t="s">
        <v>55</v>
      </c>
      <c r="B10" s="17" t="s">
        <v>56</v>
      </c>
      <c r="C10" s="13" t="s">
        <v>48</v>
      </c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</row>
    <row r="11" customFormat="false" ht="21.75" hidden="false" customHeight="true" outlineLevel="0" collapsed="false">
      <c r="A11" s="19" t="s">
        <v>57</v>
      </c>
      <c r="B11" s="19" t="s">
        <v>58</v>
      </c>
      <c r="C11" s="19" t="s">
        <v>48</v>
      </c>
      <c r="D11" s="19" t="n">
        <f aca="false">SUM(D6,D7,D8,D9)</f>
        <v>0</v>
      </c>
      <c r="E11" s="19" t="n">
        <f aca="false">SUM(E6,E7,E8,E9)</f>
        <v>0</v>
      </c>
      <c r="F11" s="19" t="n">
        <f aca="false">SUM(F6,F7,F8,F9)</f>
        <v>0</v>
      </c>
      <c r="G11" s="19" t="n">
        <f aca="false">SUM(G6,G7,G8,G9)</f>
        <v>0</v>
      </c>
      <c r="H11" s="19" t="n">
        <f aca="false">SUM(H6,H7,H8,H9)</f>
        <v>0</v>
      </c>
      <c r="I11" s="19" t="n">
        <f aca="false">SUM(I6,I7,I8,I9)</f>
        <v>0</v>
      </c>
      <c r="J11" s="19" t="n">
        <f aca="false">SUM(J6,J7,J8,J9)</f>
        <v>0</v>
      </c>
      <c r="K11" s="19" t="n">
        <f aca="false">SUM(K6,K7,K8,K9)</f>
        <v>0</v>
      </c>
      <c r="L11" s="19" t="n">
        <f aca="false">SUM(L6,L7,L8,L9)</f>
        <v>0</v>
      </c>
      <c r="M11" s="19" t="n">
        <f aca="false">SUM(M6,M7,M8,M9)</f>
        <v>0</v>
      </c>
      <c r="N11" s="19" t="n">
        <f aca="false">SUM(N6,N7,N8,N9)</f>
        <v>0</v>
      </c>
      <c r="O11" s="19" t="n">
        <f aca="false">SUM(O6,O7,O8,O9)</f>
        <v>0</v>
      </c>
      <c r="P11" s="20" t="n">
        <f aca="false">D11+E11+F11+G11+H11+I11+J11+K11+L11+M11+N11+O11</f>
        <v>0</v>
      </c>
    </row>
    <row r="12" customFormat="false" ht="19.5" hidden="false" customHeight="true" outlineLevel="0" collapsed="false">
      <c r="A12" s="12" t="s">
        <v>59</v>
      </c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2"/>
    </row>
    <row r="13" customFormat="false" ht="19.5" hidden="false" customHeight="true" outlineLevel="0" collapsed="false">
      <c r="A13" s="13" t="s">
        <v>60</v>
      </c>
      <c r="B13" s="14" t="s">
        <v>61</v>
      </c>
      <c r="C13" s="13" t="s">
        <v>48</v>
      </c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</row>
    <row r="14" customFormat="false" ht="19.5" hidden="false" customHeight="true" outlineLevel="0" collapsed="false">
      <c r="A14" s="13" t="s">
        <v>62</v>
      </c>
      <c r="B14" s="14" t="s">
        <v>63</v>
      </c>
      <c r="C14" s="13" t="s">
        <v>48</v>
      </c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</row>
    <row r="15" customFormat="false" ht="19.5" hidden="false" customHeight="true" outlineLevel="0" collapsed="false">
      <c r="A15" s="13" t="s">
        <v>64</v>
      </c>
      <c r="B15" s="14" t="s">
        <v>65</v>
      </c>
      <c r="C15" s="13" t="s">
        <v>48</v>
      </c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</row>
    <row r="16" customFormat="false" ht="19.5" hidden="false" customHeight="true" outlineLevel="0" collapsed="false">
      <c r="A16" s="13" t="s">
        <v>66</v>
      </c>
      <c r="B16" s="14" t="s">
        <v>67</v>
      </c>
      <c r="C16" s="13" t="s">
        <v>48</v>
      </c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</row>
    <row r="17" customFormat="false" ht="19.5" hidden="false" customHeight="true" outlineLevel="0" collapsed="false">
      <c r="A17" s="13" t="s">
        <v>68</v>
      </c>
      <c r="B17" s="14" t="s">
        <v>69</v>
      </c>
      <c r="C17" s="13" t="s">
        <v>48</v>
      </c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</row>
    <row r="18" customFormat="false" ht="19.5" hidden="false" customHeight="true" outlineLevel="0" collapsed="false">
      <c r="A18" s="16" t="s">
        <v>70</v>
      </c>
      <c r="B18" s="17" t="s">
        <v>71</v>
      </c>
      <c r="C18" s="13" t="s">
        <v>48</v>
      </c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</row>
    <row r="19" customFormat="false" ht="19.5" hidden="false" customHeight="true" outlineLevel="0" collapsed="false">
      <c r="A19" s="13" t="s">
        <v>72</v>
      </c>
      <c r="B19" s="14" t="s">
        <v>73</v>
      </c>
      <c r="C19" s="13" t="s">
        <v>48</v>
      </c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</row>
    <row r="20" customFormat="false" ht="19.5" hidden="false" customHeight="true" outlineLevel="0" collapsed="false">
      <c r="A20" s="13" t="s">
        <v>74</v>
      </c>
      <c r="B20" s="14" t="s">
        <v>75</v>
      </c>
      <c r="C20" s="13" t="s">
        <v>48</v>
      </c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</row>
    <row r="21" customFormat="false" ht="21.75" hidden="false" customHeight="true" outlineLevel="0" collapsed="false">
      <c r="A21" s="16" t="s">
        <v>76</v>
      </c>
      <c r="B21" s="16" t="s">
        <v>77</v>
      </c>
      <c r="C21" s="16" t="s">
        <v>48</v>
      </c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</row>
    <row r="22" customFormat="false" ht="19.5" hidden="false" customHeight="true" outlineLevel="0" collapsed="false">
      <c r="A22" s="23" t="s">
        <v>57</v>
      </c>
      <c r="B22" s="24" t="s">
        <v>78</v>
      </c>
      <c r="C22" s="24" t="s">
        <v>48</v>
      </c>
      <c r="D22" s="24" t="n">
        <f aca="false">SUM(D12,D13,D14,D15,D16,D18,D19)</f>
        <v>0</v>
      </c>
      <c r="E22" s="24" t="n">
        <f aca="false">SUM(E12,E13,E14,E15,E16,E18,E19)</f>
        <v>0</v>
      </c>
      <c r="F22" s="24" t="n">
        <f aca="false">SUM(F12,F13,F14,F15,F16,F18,F19)</f>
        <v>0</v>
      </c>
      <c r="G22" s="24" t="n">
        <f aca="false">SUM(G12,G13,G14,G15,G16,G18,G19)</f>
        <v>0</v>
      </c>
      <c r="H22" s="24" t="n">
        <f aca="false">SUM(H12,H13,H14,H15,H16,H18,H19)</f>
        <v>0</v>
      </c>
      <c r="I22" s="24" t="n">
        <f aca="false">SUM(I12,I13,I14,I15,I16,I18,I19)</f>
        <v>0</v>
      </c>
      <c r="J22" s="24" t="n">
        <f aca="false">SUM(J12,J13,J14,J15,J16,J18,J19)</f>
        <v>0</v>
      </c>
      <c r="K22" s="24" t="n">
        <f aca="false">SUM(K12,K13,K14,K15,K16,K18,K19)</f>
        <v>0</v>
      </c>
      <c r="L22" s="24" t="n">
        <f aca="false">SUM(L12,L13,L14,L15,L16,L18,L19)</f>
        <v>0</v>
      </c>
      <c r="M22" s="24" t="n">
        <f aca="false">SUM(M12,M13,M14,M15,M16,M18,M19)</f>
        <v>0</v>
      </c>
      <c r="N22" s="24" t="n">
        <f aca="false">SUM(N12,N13,N14,N15,N16,N18,N19)</f>
        <v>0</v>
      </c>
      <c r="O22" s="24" t="n">
        <f aca="false">SUM(O12,O13,O14,O15,O16,O18,O19)</f>
        <v>0</v>
      </c>
      <c r="P22" s="20" t="n">
        <f aca="false">D21+E21+F21+G21+H21+I21+J21+K21+L21+M21+N21+O21</f>
        <v>0</v>
      </c>
    </row>
    <row r="23" customFormat="false" ht="19.5" hidden="false" customHeight="true" outlineLevel="0" collapsed="false">
      <c r="A23" s="12" t="s">
        <v>79</v>
      </c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2"/>
    </row>
    <row r="24" customFormat="false" ht="19.5" hidden="false" customHeight="true" outlineLevel="0" collapsed="false">
      <c r="A24" s="13" t="s">
        <v>80</v>
      </c>
      <c r="B24" s="14" t="s">
        <v>81</v>
      </c>
      <c r="C24" s="13" t="s">
        <v>48</v>
      </c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</row>
    <row r="25" customFormat="false" ht="21.75" hidden="false" customHeight="true" outlineLevel="0" collapsed="false">
      <c r="A25" s="13" t="s">
        <v>82</v>
      </c>
      <c r="B25" s="13" t="s">
        <v>83</v>
      </c>
      <c r="C25" s="13" t="s">
        <v>48</v>
      </c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</row>
    <row r="26" customFormat="false" ht="19.5" hidden="false" customHeight="true" outlineLevel="0" collapsed="false">
      <c r="A26" s="13" t="s">
        <v>84</v>
      </c>
      <c r="B26" s="14" t="s">
        <v>85</v>
      </c>
      <c r="C26" s="13" t="s">
        <v>48</v>
      </c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customFormat="false" ht="19.5" hidden="false" customHeight="true" outlineLevel="0" collapsed="false">
      <c r="A27" s="23" t="s">
        <v>57</v>
      </c>
      <c r="B27" s="24" t="s">
        <v>86</v>
      </c>
      <c r="C27" s="24" t="s">
        <v>48</v>
      </c>
      <c r="D27" s="24" t="n">
        <f aca="false">SUM(D22,D23,D24)</f>
        <v>0</v>
      </c>
      <c r="E27" s="24" t="n">
        <f aca="false">SUM(E22,E23,E24)</f>
        <v>0</v>
      </c>
      <c r="F27" s="24" t="n">
        <f aca="false">SUM(F22,F23,F24)</f>
        <v>0</v>
      </c>
      <c r="G27" s="24" t="n">
        <f aca="false">SUM(G22,G23,G24)</f>
        <v>0</v>
      </c>
      <c r="H27" s="24" t="n">
        <f aca="false">SUM(H22,H23,H24)</f>
        <v>0</v>
      </c>
      <c r="I27" s="24" t="n">
        <f aca="false">SUM(I22,I23,I24)</f>
        <v>0</v>
      </c>
      <c r="J27" s="24" t="n">
        <f aca="false">SUM(J22,J23,J24)</f>
        <v>0</v>
      </c>
      <c r="K27" s="24" t="n">
        <f aca="false">SUM(K22,K23,K24)</f>
        <v>0</v>
      </c>
      <c r="L27" s="24" t="n">
        <f aca="false">SUM(L22,L23,L24)</f>
        <v>0</v>
      </c>
      <c r="M27" s="24" t="n">
        <f aca="false">SUM(M22,M23,M24)</f>
        <v>0</v>
      </c>
      <c r="N27" s="24" t="n">
        <f aca="false">SUM(N22,N23,N24)</f>
        <v>0</v>
      </c>
      <c r="O27" s="24" t="n">
        <f aca="false">SUM(O22,O23,O24)</f>
        <v>0</v>
      </c>
      <c r="P27" s="20" t="n">
        <f aca="false">D25+E25+F25+G25+H25+I25+J25+K25+L25+M25+N25+O25</f>
        <v>0</v>
      </c>
    </row>
    <row r="28" customFormat="false" ht="19.5" hidden="false" customHeight="true" outlineLevel="0" collapsed="false">
      <c r="A28" s="12" t="s">
        <v>87</v>
      </c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2"/>
    </row>
    <row r="29" customFormat="false" ht="19.5" hidden="false" customHeight="true" outlineLevel="0" collapsed="false">
      <c r="A29" s="13" t="s">
        <v>88</v>
      </c>
      <c r="B29" s="14" t="s">
        <v>89</v>
      </c>
      <c r="C29" s="13" t="s">
        <v>48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</row>
    <row r="30" customFormat="false" ht="19.5" hidden="false" customHeight="true" outlineLevel="0" collapsed="false">
      <c r="A30" s="13" t="s">
        <v>90</v>
      </c>
      <c r="B30" s="14" t="s">
        <v>91</v>
      </c>
      <c r="C30" s="13" t="s">
        <v>48</v>
      </c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</row>
    <row r="31" customFormat="false" ht="21.75" hidden="false" customHeight="true" outlineLevel="0" collapsed="false">
      <c r="A31" s="13" t="s">
        <v>92</v>
      </c>
      <c r="B31" s="13" t="s">
        <v>93</v>
      </c>
      <c r="C31" s="13" t="s">
        <v>48</v>
      </c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</row>
    <row r="32" customFormat="false" ht="19.5" hidden="false" customHeight="true" outlineLevel="0" collapsed="false">
      <c r="A32" s="13" t="s">
        <v>94</v>
      </c>
      <c r="B32" s="14" t="s">
        <v>95</v>
      </c>
      <c r="C32" s="13" t="s">
        <v>48</v>
      </c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</row>
    <row r="33" customFormat="false" ht="19.5" hidden="false" customHeight="true" outlineLevel="0" collapsed="false">
      <c r="A33" s="13" t="s">
        <v>96</v>
      </c>
      <c r="B33" s="14" t="s">
        <v>97</v>
      </c>
      <c r="C33" s="13" t="s">
        <v>48</v>
      </c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</row>
    <row r="34" customFormat="false" ht="19.5" hidden="false" customHeight="true" outlineLevel="0" collapsed="false">
      <c r="A34" s="23" t="s">
        <v>57</v>
      </c>
      <c r="B34" s="24" t="s">
        <v>98</v>
      </c>
      <c r="C34" s="24" t="s">
        <v>48</v>
      </c>
      <c r="D34" s="24" t="n">
        <f aca="false">SUM(D26,D27,D28,D29,D30)</f>
        <v>0</v>
      </c>
      <c r="E34" s="24" t="n">
        <f aca="false">SUM(E26,E27,E28,E29,E30)</f>
        <v>0</v>
      </c>
      <c r="F34" s="24" t="n">
        <f aca="false">SUM(F26,F27,F28,F29,F30)</f>
        <v>0</v>
      </c>
      <c r="G34" s="24" t="n">
        <f aca="false">SUM(G26,G27,G28,G29,G30)</f>
        <v>0</v>
      </c>
      <c r="H34" s="24" t="n">
        <f aca="false">SUM(H26,H27,H28,H29,H30)</f>
        <v>0</v>
      </c>
      <c r="I34" s="24" t="n">
        <f aca="false">SUM(I26,I27,I28,I29,I30)</f>
        <v>0</v>
      </c>
      <c r="J34" s="24" t="n">
        <f aca="false">SUM(J26,J27,J28,J29,J30)</f>
        <v>0</v>
      </c>
      <c r="K34" s="24" t="n">
        <f aca="false">SUM(K26,K27,K28,K29,K30)</f>
        <v>0</v>
      </c>
      <c r="L34" s="24" t="n">
        <f aca="false">SUM(L26,L27,L28,L29,L30)</f>
        <v>0</v>
      </c>
      <c r="M34" s="24" t="n">
        <f aca="false">SUM(M26,M27,M28,M29,M30)</f>
        <v>0</v>
      </c>
      <c r="N34" s="24" t="n">
        <f aca="false">SUM(N26,N27,N28,N29,N30)</f>
        <v>0</v>
      </c>
      <c r="O34" s="24" t="n">
        <f aca="false">SUM(O26,O27,O28,O29,O30)</f>
        <v>0</v>
      </c>
      <c r="P34" s="20" t="n">
        <f aca="false">D31+E31+F31+G31+H31+I31+J31+K31+L31+M31+N31+O31</f>
        <v>0</v>
      </c>
    </row>
    <row r="35" customFormat="false" ht="19.5" hidden="false" customHeight="true" outlineLevel="0" collapsed="false">
      <c r="A35" s="12" t="s">
        <v>99</v>
      </c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2"/>
    </row>
    <row r="36" customFormat="false" ht="19.5" hidden="false" customHeight="true" outlineLevel="0" collapsed="false">
      <c r="A36" s="13" t="s">
        <v>100</v>
      </c>
      <c r="B36" s="14" t="s">
        <v>101</v>
      </c>
      <c r="C36" s="13" t="s">
        <v>48</v>
      </c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</row>
    <row r="37" customFormat="false" ht="19.5" hidden="false" customHeight="true" outlineLevel="0" collapsed="false">
      <c r="A37" s="13" t="s">
        <v>102</v>
      </c>
      <c r="B37" s="14" t="s">
        <v>103</v>
      </c>
      <c r="C37" s="13" t="s">
        <v>48</v>
      </c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</row>
    <row r="38" customFormat="false" ht="19.5" hidden="false" customHeight="true" outlineLevel="0" collapsed="false">
      <c r="A38" s="13" t="s">
        <v>104</v>
      </c>
      <c r="B38" s="14" t="s">
        <v>105</v>
      </c>
      <c r="C38" s="13" t="s">
        <v>48</v>
      </c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</row>
    <row r="39" customFormat="false" ht="21.75" hidden="false" customHeight="true" outlineLevel="0" collapsed="false">
      <c r="A39" s="13" t="s">
        <v>106</v>
      </c>
      <c r="B39" s="13" t="s">
        <v>107</v>
      </c>
      <c r="C39" s="13" t="s">
        <v>48</v>
      </c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</row>
    <row r="40" customFormat="false" ht="19.5" hidden="false" customHeight="true" outlineLevel="0" collapsed="false">
      <c r="A40" s="13" t="s">
        <v>108</v>
      </c>
      <c r="B40" s="14" t="s">
        <v>109</v>
      </c>
      <c r="C40" s="13" t="s">
        <v>48</v>
      </c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</row>
    <row r="41" customFormat="false" ht="19.5" hidden="false" customHeight="true" outlineLevel="0" collapsed="false">
      <c r="A41" s="13" t="s">
        <v>110</v>
      </c>
      <c r="B41" s="14" t="s">
        <v>111</v>
      </c>
      <c r="C41" s="13" t="s">
        <v>48</v>
      </c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</row>
    <row r="42" customFormat="false" ht="19.5" hidden="false" customHeight="true" outlineLevel="0" collapsed="false">
      <c r="A42" s="13" t="s">
        <v>112</v>
      </c>
      <c r="B42" s="14" t="s">
        <v>113</v>
      </c>
      <c r="C42" s="13" t="s">
        <v>48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</row>
    <row r="43" customFormat="false" ht="19.5" hidden="false" customHeight="true" outlineLevel="0" collapsed="false">
      <c r="A43" s="23" t="s">
        <v>57</v>
      </c>
      <c r="B43" s="24" t="s">
        <v>114</v>
      </c>
      <c r="C43" s="24" t="s">
        <v>48</v>
      </c>
      <c r="D43" s="24" t="n">
        <f aca="false">SUM(D32,D33,D34,D35,D36,D37,D38)</f>
        <v>0</v>
      </c>
      <c r="E43" s="24" t="n">
        <f aca="false">SUM(E32,E33,E34,E35,E36,E37,E38)</f>
        <v>0</v>
      </c>
      <c r="F43" s="24" t="n">
        <f aca="false">SUM(F32,F33,F34,F35,F36,F37,F38)</f>
        <v>0</v>
      </c>
      <c r="G43" s="24" t="n">
        <f aca="false">SUM(G32,G33,G34,G35,G36,G37,G38)</f>
        <v>0</v>
      </c>
      <c r="H43" s="24" t="n">
        <f aca="false">SUM(H32,H33,H34,H35,H36,H37,H38)</f>
        <v>0</v>
      </c>
      <c r="I43" s="24" t="n">
        <f aca="false">SUM(I32,I33,I34,I35,I36,I37,I38)</f>
        <v>0</v>
      </c>
      <c r="J43" s="24" t="n">
        <f aca="false">SUM(J32,J33,J34,J35,J36,J37,J38)</f>
        <v>0</v>
      </c>
      <c r="K43" s="24" t="n">
        <f aca="false">SUM(K32,K33,K34,K35,K36,K37,K38)</f>
        <v>0</v>
      </c>
      <c r="L43" s="24" t="n">
        <f aca="false">SUM(L32,L33,L34,L35,L36,L37,L38)</f>
        <v>0</v>
      </c>
      <c r="M43" s="24" t="n">
        <f aca="false">SUM(M32,M33,M34,M35,M36,M37,M38)</f>
        <v>0</v>
      </c>
      <c r="N43" s="24" t="n">
        <f aca="false">SUM(N32,N33,N34,N35,N36,N37,N38)</f>
        <v>0</v>
      </c>
      <c r="O43" s="24" t="n">
        <f aca="false">SUM(O32,O33,O34,O35,O36,O37,O38)</f>
        <v>0</v>
      </c>
      <c r="P43" s="20" t="n">
        <f aca="false">D39+E39+F39+G39+H39+I39+J39+K39+L39+M39+N39+O39</f>
        <v>0</v>
      </c>
    </row>
    <row r="44" customFormat="false" ht="19.5" hidden="false" customHeight="true" outlineLevel="0" collapsed="false">
      <c r="A44" s="12" t="s">
        <v>115</v>
      </c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2"/>
    </row>
    <row r="45" customFormat="false" ht="21.75" hidden="false" customHeight="true" outlineLevel="0" collapsed="false">
      <c r="A45" s="13" t="s">
        <v>116</v>
      </c>
      <c r="B45" s="13" t="s">
        <v>117</v>
      </c>
      <c r="C45" s="13" t="s">
        <v>48</v>
      </c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</row>
    <row r="46" customFormat="false" ht="19.5" hidden="false" customHeight="true" outlineLevel="0" collapsed="false">
      <c r="A46" s="13" t="s">
        <v>118</v>
      </c>
      <c r="B46" s="14" t="s">
        <v>119</v>
      </c>
      <c r="C46" s="13" t="s">
        <v>48</v>
      </c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</row>
    <row r="47" customFormat="false" ht="19.5" hidden="false" customHeight="true" outlineLevel="0" collapsed="false">
      <c r="A47" s="13" t="s">
        <v>120</v>
      </c>
      <c r="B47" s="14" t="s">
        <v>121</v>
      </c>
      <c r="C47" s="13" t="s">
        <v>48</v>
      </c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</row>
    <row r="48" customFormat="false" ht="19.5" hidden="false" customHeight="true" outlineLevel="0" collapsed="false">
      <c r="A48" s="13" t="s">
        <v>122</v>
      </c>
      <c r="B48" s="14" t="s">
        <v>123</v>
      </c>
      <c r="C48" s="13" t="s">
        <v>48</v>
      </c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</row>
    <row r="49" customFormat="false" ht="19.5" hidden="false" customHeight="true" outlineLevel="0" collapsed="false">
      <c r="A49" s="16" t="s">
        <v>124</v>
      </c>
      <c r="B49" s="17" t="s">
        <v>125</v>
      </c>
      <c r="C49" s="13" t="s">
        <v>48</v>
      </c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</row>
    <row r="50" customFormat="false" ht="19.5" hidden="false" customHeight="true" outlineLevel="0" collapsed="false">
      <c r="A50" s="23" t="s">
        <v>57</v>
      </c>
      <c r="B50" s="24" t="s">
        <v>126</v>
      </c>
      <c r="C50" s="24" t="s">
        <v>48</v>
      </c>
      <c r="D50" s="24" t="n">
        <f aca="false">SUM(D40,D41,D42,D43)</f>
        <v>0</v>
      </c>
      <c r="E50" s="24" t="n">
        <f aca="false">SUM(E40,E41,E42,E43)</f>
        <v>0</v>
      </c>
      <c r="F50" s="24" t="n">
        <f aca="false">SUM(F40,F41,F42,F43)</f>
        <v>0</v>
      </c>
      <c r="G50" s="24" t="n">
        <f aca="false">SUM(G40,G41,G42,G43)</f>
        <v>0</v>
      </c>
      <c r="H50" s="24" t="n">
        <f aca="false">SUM(H40,H41,H42,H43)</f>
        <v>0</v>
      </c>
      <c r="I50" s="24" t="n">
        <f aca="false">SUM(I40,I41,I42,I43)</f>
        <v>0</v>
      </c>
      <c r="J50" s="24" t="n">
        <f aca="false">SUM(J40,J41,J42,J43)</f>
        <v>0</v>
      </c>
      <c r="K50" s="24" t="n">
        <f aca="false">SUM(K40,K41,K42,K43)</f>
        <v>0</v>
      </c>
      <c r="L50" s="24" t="n">
        <f aca="false">SUM(L40,L41,L42,L43)</f>
        <v>0</v>
      </c>
      <c r="M50" s="24" t="n">
        <f aca="false">SUM(M40,M41,M42,M43)</f>
        <v>0</v>
      </c>
      <c r="N50" s="24" t="n">
        <f aca="false">SUM(N40,N41,N42,N43)</f>
        <v>0</v>
      </c>
      <c r="O50" s="24" t="n">
        <f aca="false">SUM(O40,O41,O42,O43)</f>
        <v>0</v>
      </c>
      <c r="P50" s="20" t="n">
        <f aca="false">D45+E45+F45+G45+H45+I45+J45+K45+L45+M45+N45+O45</f>
        <v>0</v>
      </c>
    </row>
    <row r="51" customFormat="false" ht="19.5" hidden="false" customHeight="true" outlineLevel="0" collapsed="false">
      <c r="A51" s="12" t="s">
        <v>127</v>
      </c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2"/>
    </row>
    <row r="52" customFormat="false" ht="19.5" hidden="false" customHeight="true" outlineLevel="0" collapsed="false">
      <c r="A52" s="13" t="s">
        <v>128</v>
      </c>
      <c r="B52" s="14" t="s">
        <v>129</v>
      </c>
      <c r="C52" s="13" t="s">
        <v>48</v>
      </c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</row>
    <row r="53" customFormat="false" ht="19.5" hidden="false" customHeight="true" outlineLevel="0" collapsed="false">
      <c r="A53" s="13" t="s">
        <v>130</v>
      </c>
      <c r="B53" s="14" t="s">
        <v>131</v>
      </c>
      <c r="C53" s="13" t="s">
        <v>48</v>
      </c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</row>
    <row r="54" customFormat="false" ht="19.5" hidden="false" customHeight="true" outlineLevel="0" collapsed="false">
      <c r="A54" s="13" t="s">
        <v>132</v>
      </c>
      <c r="B54" s="14" t="s">
        <v>133</v>
      </c>
      <c r="C54" s="13" t="s">
        <v>48</v>
      </c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</row>
    <row r="55" customFormat="false" ht="21.75" hidden="false" customHeight="true" outlineLevel="0" collapsed="false">
      <c r="A55" s="13" t="s">
        <v>134</v>
      </c>
      <c r="B55" s="13" t="s">
        <v>135</v>
      </c>
      <c r="C55" s="13" t="s">
        <v>48</v>
      </c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</row>
    <row r="56" customFormat="false" ht="19.5" hidden="false" customHeight="true" outlineLevel="0" collapsed="false">
      <c r="A56" s="13" t="s">
        <v>136</v>
      </c>
      <c r="B56" s="14" t="s">
        <v>137</v>
      </c>
      <c r="C56" s="13" t="s">
        <v>48</v>
      </c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</row>
    <row r="57" customFormat="false" ht="19.5" hidden="false" customHeight="true" outlineLevel="0" collapsed="false">
      <c r="A57" s="16" t="s">
        <v>138</v>
      </c>
      <c r="B57" s="17" t="s">
        <v>139</v>
      </c>
      <c r="C57" s="13" t="s">
        <v>48</v>
      </c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</row>
    <row r="58" customFormat="false" ht="19.5" hidden="false" customHeight="true" outlineLevel="0" collapsed="false">
      <c r="A58" s="13" t="s">
        <v>140</v>
      </c>
      <c r="B58" s="14" t="s">
        <v>141</v>
      </c>
      <c r="C58" s="13" t="s">
        <v>48</v>
      </c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</row>
    <row r="59" customFormat="false" ht="19.5" hidden="false" customHeight="true" outlineLevel="0" collapsed="false">
      <c r="A59" s="13" t="s">
        <v>142</v>
      </c>
      <c r="B59" s="14" t="s">
        <v>143</v>
      </c>
      <c r="C59" s="13" t="s">
        <v>48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</row>
    <row r="60" customFormat="false" ht="19.5" hidden="false" customHeight="true" outlineLevel="0" collapsed="false">
      <c r="A60" s="16" t="s">
        <v>144</v>
      </c>
      <c r="B60" s="17" t="s">
        <v>145</v>
      </c>
      <c r="C60" s="13" t="s">
        <v>48</v>
      </c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</row>
    <row r="61" customFormat="false" ht="19.5" hidden="false" customHeight="true" outlineLevel="0" collapsed="false">
      <c r="A61" s="23" t="s">
        <v>57</v>
      </c>
      <c r="B61" s="24" t="s">
        <v>146</v>
      </c>
      <c r="C61" s="24" t="s">
        <v>48</v>
      </c>
      <c r="D61" s="24" t="n">
        <f aca="false">SUM(D46,D47,D48,D49,D50,D52,D53)</f>
        <v>0</v>
      </c>
      <c r="E61" s="24" t="n">
        <f aca="false">SUM(E46,E47,E48,E49,E50,E52,E53)</f>
        <v>0</v>
      </c>
      <c r="F61" s="24" t="n">
        <f aca="false">SUM(F46,F47,F48,F49,F50,F52,F53)</f>
        <v>0</v>
      </c>
      <c r="G61" s="24" t="n">
        <f aca="false">SUM(G46,G47,G48,G49,G50,G52,G53)</f>
        <v>0</v>
      </c>
      <c r="H61" s="24" t="n">
        <f aca="false">SUM(H46,H47,H48,H49,H50,H52,H53)</f>
        <v>0</v>
      </c>
      <c r="I61" s="24" t="n">
        <f aca="false">SUM(I46,I47,I48,I49,I50,I52,I53)</f>
        <v>0</v>
      </c>
      <c r="J61" s="24" t="n">
        <f aca="false">SUM(J46,J47,J48,J49,J50,J52,J53)</f>
        <v>0</v>
      </c>
      <c r="K61" s="24" t="n">
        <f aca="false">SUM(K46,K47,K48,K49,K50,K52,K53)</f>
        <v>0</v>
      </c>
      <c r="L61" s="24" t="n">
        <f aca="false">SUM(L46,L47,L48,L49,L50,L52,L53)</f>
        <v>0</v>
      </c>
      <c r="M61" s="24" t="n">
        <f aca="false">SUM(M46,M47,M48,M49,M50,M52,M53)</f>
        <v>0</v>
      </c>
      <c r="N61" s="24" t="n">
        <f aca="false">SUM(N46,N47,N48,N49,N50,N52,N53)</f>
        <v>0</v>
      </c>
      <c r="O61" s="24" t="n">
        <f aca="false">SUM(O46,O47,O48,O49,O50,O52,O53)</f>
        <v>0</v>
      </c>
      <c r="P61" s="20" t="n">
        <f aca="false">D55+E55+F55+G55+H55+I55+J55+K55+L55+M55+N55+O55</f>
        <v>0</v>
      </c>
    </row>
    <row r="62" customFormat="false" ht="21.75" hidden="false" customHeight="true" outlineLevel="0" collapsed="false">
      <c r="A62" s="12" t="s">
        <v>147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</row>
    <row r="63" customFormat="false" ht="19.5" hidden="false" customHeight="true" outlineLevel="0" collapsed="false">
      <c r="A63" s="13" t="s">
        <v>148</v>
      </c>
      <c r="B63" s="14" t="s">
        <v>149</v>
      </c>
      <c r="C63" s="13" t="s">
        <v>48</v>
      </c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</row>
    <row r="64" customFormat="false" ht="19.5" hidden="false" customHeight="true" outlineLevel="0" collapsed="false">
      <c r="A64" s="13" t="s">
        <v>150</v>
      </c>
      <c r="B64" s="14" t="s">
        <v>151</v>
      </c>
      <c r="C64" s="13" t="s">
        <v>48</v>
      </c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</row>
    <row r="65" customFormat="false" ht="19.5" hidden="false" customHeight="true" outlineLevel="0" collapsed="false">
      <c r="A65" s="13" t="s">
        <v>152</v>
      </c>
      <c r="B65" s="14" t="s">
        <v>153</v>
      </c>
      <c r="C65" s="13" t="s">
        <v>48</v>
      </c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</row>
    <row r="66" customFormat="false" ht="19.5" hidden="false" customHeight="true" outlineLevel="0" collapsed="false">
      <c r="A66" s="13" t="s">
        <v>154</v>
      </c>
      <c r="B66" s="14" t="s">
        <v>155</v>
      </c>
      <c r="C66" s="13" t="s">
        <v>48</v>
      </c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</row>
    <row r="67" customFormat="false" ht="19.5" hidden="false" customHeight="true" outlineLevel="0" collapsed="false">
      <c r="A67" s="13" t="s">
        <v>156</v>
      </c>
      <c r="B67" s="14" t="s">
        <v>157</v>
      </c>
      <c r="C67" s="13" t="s">
        <v>48</v>
      </c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</row>
    <row r="68" customFormat="false" ht="19.5" hidden="false" customHeight="true" outlineLevel="0" collapsed="false">
      <c r="A68" s="13" t="s">
        <v>158</v>
      </c>
      <c r="B68" s="14" t="s">
        <v>159</v>
      </c>
      <c r="C68" s="13" t="s">
        <v>48</v>
      </c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</row>
    <row r="69" customFormat="false" ht="19.5" hidden="false" customHeight="true" outlineLevel="0" collapsed="false">
      <c r="A69" s="23" t="s">
        <v>57</v>
      </c>
      <c r="B69" s="24" t="s">
        <v>160</v>
      </c>
      <c r="C69" s="24" t="s">
        <v>48</v>
      </c>
      <c r="D69" s="24" t="n">
        <f aca="false">SUM(D56,D57,D58,D59,D60,D61)</f>
        <v>0</v>
      </c>
      <c r="E69" s="24" t="n">
        <f aca="false">SUM(E56,E57,E58,E59,E60,E61)</f>
        <v>0</v>
      </c>
      <c r="F69" s="24" t="n">
        <f aca="false">SUM(F56,F57,F58,F59,F60,F61)</f>
        <v>0</v>
      </c>
      <c r="G69" s="24" t="n">
        <f aca="false">SUM(G56,G57,G58,G59,G60,G61)</f>
        <v>0</v>
      </c>
      <c r="H69" s="24" t="n">
        <f aca="false">SUM(H56,H57,H58,H59,H60,H61)</f>
        <v>0</v>
      </c>
      <c r="I69" s="24" t="n">
        <f aca="false">SUM(I56,I57,I58,I59,I60,I61)</f>
        <v>0</v>
      </c>
      <c r="J69" s="24" t="n">
        <f aca="false">SUM(J56,J57,J58,J59,J60,J61)</f>
        <v>0</v>
      </c>
      <c r="K69" s="24" t="n">
        <f aca="false">SUM(K56,K57,K58,K59,K60,K61)</f>
        <v>0</v>
      </c>
      <c r="L69" s="24" t="n">
        <f aca="false">SUM(L56,L57,L58,L59,L60,L61)</f>
        <v>0</v>
      </c>
      <c r="M69" s="24" t="n">
        <f aca="false">SUM(M56,M57,M58,M59,M60,M61)</f>
        <v>0</v>
      </c>
      <c r="N69" s="24" t="n">
        <f aca="false">SUM(N56,N57,N58,N59,N60,N61)</f>
        <v>0</v>
      </c>
      <c r="O69" s="24" t="n">
        <f aca="false">SUM(O56,O57,O58,O59,O60,O61)</f>
        <v>0</v>
      </c>
      <c r="P69" s="20" t="n">
        <f aca="false">D62+E62+F62+G62+H62+I62+J62+K62+L62+M62+N62+O62</f>
        <v>0</v>
      </c>
    </row>
    <row r="70" customFormat="false" ht="19.5" hidden="false" customHeight="true" outlineLevel="0" collapsed="false">
      <c r="A70" s="12" t="s">
        <v>161</v>
      </c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2"/>
    </row>
    <row r="71" customFormat="false" ht="21.75" hidden="false" customHeight="true" outlineLevel="0" collapsed="false">
      <c r="A71" s="13" t="s">
        <v>162</v>
      </c>
      <c r="B71" s="13" t="s">
        <v>163</v>
      </c>
      <c r="C71" s="13" t="s">
        <v>48</v>
      </c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</row>
    <row r="72" customFormat="false" ht="19.5" hidden="false" customHeight="true" outlineLevel="0" collapsed="false">
      <c r="A72" s="13" t="s">
        <v>164</v>
      </c>
      <c r="B72" s="14" t="s">
        <v>165</v>
      </c>
      <c r="C72" s="13" t="s">
        <v>48</v>
      </c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</row>
    <row r="73" customFormat="false" ht="19.5" hidden="false" customHeight="true" outlineLevel="0" collapsed="false">
      <c r="A73" s="13" t="s">
        <v>166</v>
      </c>
      <c r="B73" s="14" t="s">
        <v>167</v>
      </c>
      <c r="C73" s="13" t="s">
        <v>48</v>
      </c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</row>
    <row r="74" customFormat="false" ht="19.5" hidden="false" customHeight="true" outlineLevel="0" collapsed="false">
      <c r="A74" s="13" t="s">
        <v>168</v>
      </c>
      <c r="B74" s="14" t="s">
        <v>169</v>
      </c>
      <c r="C74" s="13" t="s">
        <v>48</v>
      </c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</row>
    <row r="75" customFormat="false" ht="19.5" hidden="false" customHeight="true" outlineLevel="0" collapsed="false">
      <c r="A75" s="13" t="s">
        <v>170</v>
      </c>
      <c r="B75" s="14" t="s">
        <v>171</v>
      </c>
      <c r="C75" s="13" t="s">
        <v>48</v>
      </c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</row>
    <row r="76" customFormat="false" ht="19.5" hidden="false" customHeight="true" outlineLevel="0" collapsed="false">
      <c r="A76" s="16" t="s">
        <v>172</v>
      </c>
      <c r="B76" s="17" t="s">
        <v>173</v>
      </c>
      <c r="C76" s="13" t="s">
        <v>48</v>
      </c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</row>
    <row r="77" customFormat="false" ht="21.75" hidden="false" customHeight="true" outlineLevel="0" collapsed="false">
      <c r="A77" s="13" t="s">
        <v>174</v>
      </c>
      <c r="B77" s="13" t="s">
        <v>175</v>
      </c>
      <c r="C77" s="13" t="s">
        <v>48</v>
      </c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</row>
    <row r="78" customFormat="false" ht="19.5" hidden="false" customHeight="true" outlineLevel="0" collapsed="false">
      <c r="A78" s="13" t="s">
        <v>176</v>
      </c>
      <c r="B78" s="14" t="s">
        <v>177</v>
      </c>
      <c r="C78" s="13" t="s">
        <v>48</v>
      </c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</row>
    <row r="79" customFormat="false" ht="19.5" hidden="false" customHeight="true" outlineLevel="0" collapsed="false">
      <c r="A79" s="23" t="s">
        <v>57</v>
      </c>
      <c r="B79" s="24" t="s">
        <v>178</v>
      </c>
      <c r="C79" s="24" t="s">
        <v>48</v>
      </c>
      <c r="D79" s="24" t="n">
        <f aca="false">SUM(D63,D64,D65,D66,D67,D69,D70)</f>
        <v>0</v>
      </c>
      <c r="E79" s="24" t="n">
        <f aca="false">SUM(E63,E64,E65,E66,E67,E69,E70)</f>
        <v>0</v>
      </c>
      <c r="F79" s="24" t="n">
        <f aca="false">SUM(F63,F64,F65,F66,F67,F69,F70)</f>
        <v>0</v>
      </c>
      <c r="G79" s="24" t="n">
        <f aca="false">SUM(G63,G64,G65,G66,G67,G69,G70)</f>
        <v>0</v>
      </c>
      <c r="H79" s="24" t="n">
        <f aca="false">SUM(H63,H64,H65,H66,H67,H69,H70)</f>
        <v>0</v>
      </c>
      <c r="I79" s="24" t="n">
        <f aca="false">SUM(I63,I64,I65,I66,I67,I69,I70)</f>
        <v>0</v>
      </c>
      <c r="J79" s="24" t="n">
        <f aca="false">SUM(J63,J64,J65,J66,J67,J69,J70)</f>
        <v>0</v>
      </c>
      <c r="K79" s="24" t="n">
        <f aca="false">SUM(K63,K64,K65,K66,K67,K69,K70)</f>
        <v>0</v>
      </c>
      <c r="L79" s="24" t="n">
        <f aca="false">SUM(L63,L64,L65,L66,L67,L69,L70)</f>
        <v>0</v>
      </c>
      <c r="M79" s="24" t="n">
        <f aca="false">SUM(M63,M64,M65,M66,M67,M69,M70)</f>
        <v>0</v>
      </c>
      <c r="N79" s="24" t="n">
        <f aca="false">SUM(N63,N64,N65,N66,N67,N69,N70)</f>
        <v>0</v>
      </c>
      <c r="O79" s="24" t="n">
        <f aca="false">SUM(O63,O64,O65,O66,O67,O69,O70)</f>
        <v>0</v>
      </c>
      <c r="P79" s="20" t="n">
        <f aca="false">D71+E71+F71+G71+H71+I71+J71+K71+L71+M71+N71+O71</f>
        <v>0</v>
      </c>
    </row>
    <row r="80" customFormat="false" ht="19.5" hidden="false" customHeight="true" outlineLevel="0" collapsed="false">
      <c r="A80" s="12" t="s">
        <v>179</v>
      </c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2"/>
    </row>
    <row r="81" customFormat="false" ht="19.5" hidden="false" customHeight="true" outlineLevel="0" collapsed="false">
      <c r="A81" s="13" t="s">
        <v>180</v>
      </c>
      <c r="B81" s="14" t="s">
        <v>181</v>
      </c>
      <c r="C81" s="13" t="s">
        <v>48</v>
      </c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</row>
    <row r="82" customFormat="false" ht="19.5" hidden="false" customHeight="true" outlineLevel="0" collapsed="false">
      <c r="A82" s="13" t="s">
        <v>182</v>
      </c>
      <c r="B82" s="14" t="s">
        <v>183</v>
      </c>
      <c r="C82" s="13" t="s">
        <v>48</v>
      </c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</row>
    <row r="83" customFormat="false" ht="19.5" hidden="false" customHeight="true" outlineLevel="0" collapsed="false">
      <c r="A83" s="13" t="s">
        <v>184</v>
      </c>
      <c r="B83" s="14" t="s">
        <v>185</v>
      </c>
      <c r="C83" s="13" t="s">
        <v>48</v>
      </c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</row>
    <row r="84" customFormat="false" ht="19.5" hidden="false" customHeight="true" outlineLevel="0" collapsed="false">
      <c r="A84" s="13" t="s">
        <v>186</v>
      </c>
      <c r="B84" s="14" t="s">
        <v>187</v>
      </c>
      <c r="C84" s="13" t="s">
        <v>48</v>
      </c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</row>
    <row r="85" customFormat="false" ht="19.5" hidden="false" customHeight="true" outlineLevel="0" collapsed="false">
      <c r="A85" s="16" t="s">
        <v>188</v>
      </c>
      <c r="B85" s="17" t="s">
        <v>189</v>
      </c>
      <c r="C85" s="13" t="s">
        <v>48</v>
      </c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</row>
    <row r="86" customFormat="false" ht="19.5" hidden="false" customHeight="true" outlineLevel="0" collapsed="false">
      <c r="A86" s="23" t="s">
        <v>57</v>
      </c>
      <c r="B86" s="24" t="s">
        <v>190</v>
      </c>
      <c r="C86" s="24" t="s">
        <v>48</v>
      </c>
      <c r="D86" s="24" t="n">
        <f aca="false">SUM(D72,D73,D74,D75)</f>
        <v>0</v>
      </c>
      <c r="E86" s="24" t="n">
        <f aca="false">SUM(E72,E73,E74,E75)</f>
        <v>0</v>
      </c>
      <c r="F86" s="24" t="n">
        <f aca="false">SUM(F72,F73,F74,F75)</f>
        <v>0</v>
      </c>
      <c r="G86" s="24" t="n">
        <f aca="false">SUM(G72,G73,G74,G75)</f>
        <v>0</v>
      </c>
      <c r="H86" s="24" t="n">
        <f aca="false">SUM(H72,H73,H74,H75)</f>
        <v>0</v>
      </c>
      <c r="I86" s="24" t="n">
        <f aca="false">SUM(I72,I73,I74,I75)</f>
        <v>0</v>
      </c>
      <c r="J86" s="24" t="n">
        <f aca="false">SUM(J72,J73,J74,J75)</f>
        <v>0</v>
      </c>
      <c r="K86" s="24" t="n">
        <f aca="false">SUM(K72,K73,K74,K75)</f>
        <v>0</v>
      </c>
      <c r="L86" s="24" t="n">
        <f aca="false">SUM(L72,L73,L74,L75)</f>
        <v>0</v>
      </c>
      <c r="M86" s="24" t="n">
        <f aca="false">SUM(M72,M73,M74,M75)</f>
        <v>0</v>
      </c>
      <c r="N86" s="24" t="n">
        <f aca="false">SUM(N72,N73,N74,N75)</f>
        <v>0</v>
      </c>
      <c r="O86" s="24" t="n">
        <f aca="false">SUM(O72,O73,O74,O75)</f>
        <v>0</v>
      </c>
      <c r="P86" s="20" t="n">
        <f aca="false">D77+E77+F77+G77+H77+I77+J77+K77+L77+M77+N77+O77</f>
        <v>0</v>
      </c>
    </row>
    <row r="87" customFormat="false" ht="21.75" hidden="false" customHeight="true" outlineLevel="0" collapsed="false">
      <c r="A87" s="12" t="s">
        <v>191</v>
      </c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</row>
    <row r="88" customFormat="false" ht="19.5" hidden="false" customHeight="true" outlineLevel="0" collapsed="false">
      <c r="A88" s="13" t="s">
        <v>192</v>
      </c>
      <c r="B88" s="14" t="s">
        <v>193</v>
      </c>
      <c r="C88" s="13" t="s">
        <v>48</v>
      </c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</row>
    <row r="89" customFormat="false" ht="19.5" hidden="false" customHeight="true" outlineLevel="0" collapsed="false">
      <c r="A89" s="13" t="s">
        <v>194</v>
      </c>
      <c r="B89" s="14" t="s">
        <v>195</v>
      </c>
      <c r="C89" s="13" t="s">
        <v>48</v>
      </c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</row>
    <row r="90" customFormat="false" ht="19.5" hidden="false" customHeight="true" outlineLevel="0" collapsed="false">
      <c r="A90" s="13" t="s">
        <v>196</v>
      </c>
      <c r="B90" s="14" t="s">
        <v>197</v>
      </c>
      <c r="C90" s="13" t="s">
        <v>48</v>
      </c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</row>
    <row r="91" customFormat="false" ht="19.5" hidden="false" customHeight="true" outlineLevel="0" collapsed="false">
      <c r="A91" s="13" t="s">
        <v>198</v>
      </c>
      <c r="B91" s="14" t="s">
        <v>199</v>
      </c>
      <c r="C91" s="13" t="s">
        <v>48</v>
      </c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</row>
    <row r="92" customFormat="false" ht="19.5" hidden="false" customHeight="true" outlineLevel="0" collapsed="false">
      <c r="A92" s="13" t="s">
        <v>200</v>
      </c>
      <c r="B92" s="14" t="s">
        <v>201</v>
      </c>
      <c r="C92" s="13" t="s">
        <v>48</v>
      </c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</row>
    <row r="93" customFormat="false" ht="21.75" hidden="false" customHeight="true" outlineLevel="0" collapsed="false">
      <c r="A93" s="16" t="s">
        <v>202</v>
      </c>
      <c r="B93" s="16" t="s">
        <v>203</v>
      </c>
      <c r="C93" s="16" t="s">
        <v>48</v>
      </c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</row>
    <row r="94" customFormat="false" ht="19.5" hidden="false" customHeight="true" outlineLevel="0" collapsed="false">
      <c r="A94" s="13" t="s">
        <v>204</v>
      </c>
      <c r="B94" s="14" t="s">
        <v>205</v>
      </c>
      <c r="C94" s="13" t="s">
        <v>48</v>
      </c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</row>
    <row r="95" customFormat="false" ht="19.5" hidden="false" customHeight="true" outlineLevel="0" collapsed="false">
      <c r="A95" s="13" t="s">
        <v>206</v>
      </c>
      <c r="B95" s="14" t="s">
        <v>207</v>
      </c>
      <c r="C95" s="13" t="s">
        <v>48</v>
      </c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</row>
    <row r="96" customFormat="false" ht="15" hidden="false" customHeight="true" outlineLevel="0" collapsed="false">
      <c r="A96" s="16" t="s">
        <v>208</v>
      </c>
      <c r="B96" s="17" t="s">
        <v>209</v>
      </c>
      <c r="C96" s="13" t="s">
        <v>48</v>
      </c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</row>
    <row r="97" customFormat="false" ht="15" hidden="false" customHeight="true" outlineLevel="0" collapsed="false">
      <c r="A97" s="23" t="s">
        <v>57</v>
      </c>
      <c r="B97" s="24" t="s">
        <v>210</v>
      </c>
      <c r="C97" s="24" t="s">
        <v>48</v>
      </c>
      <c r="D97" s="24" t="n">
        <f aca="false">SUM(D78,D79,D80,D81,D82,D84,D85)</f>
        <v>0</v>
      </c>
      <c r="E97" s="24" t="n">
        <f aca="false">SUM(E78,E79,E80,E81,E82,E84,E85)</f>
        <v>0</v>
      </c>
      <c r="F97" s="24" t="n">
        <f aca="false">SUM(F78,F79,F80,F81,F82,F84,F85)</f>
        <v>0</v>
      </c>
      <c r="G97" s="24" t="n">
        <f aca="false">SUM(G78,G79,G80,G81,G82,G84,G85)</f>
        <v>0</v>
      </c>
      <c r="H97" s="24" t="n">
        <f aca="false">SUM(H78,H79,H80,H81,H82,H84,H85)</f>
        <v>0</v>
      </c>
      <c r="I97" s="24" t="n">
        <f aca="false">SUM(I78,I79,I80,I81,I82,I84,I85)</f>
        <v>0</v>
      </c>
      <c r="J97" s="24" t="n">
        <f aca="false">SUM(J78,J79,J80,J81,J82,J84,J85)</f>
        <v>0</v>
      </c>
      <c r="K97" s="24" t="n">
        <f aca="false">SUM(K78,K79,K80,K81,K82,K84,K85)</f>
        <v>0</v>
      </c>
      <c r="L97" s="24" t="n">
        <f aca="false">SUM(L78,L79,L80,L81,L82,L84,L85)</f>
        <v>0</v>
      </c>
      <c r="M97" s="24" t="n">
        <f aca="false">SUM(M78,M79,M80,M81,M82,M84,M85)</f>
        <v>0</v>
      </c>
      <c r="N97" s="24" t="n">
        <f aca="false">SUM(N78,N79,N80,N81,N82,N84,N85)</f>
        <v>0</v>
      </c>
      <c r="O97" s="24" t="n">
        <f aca="false">SUM(O78,O79,O80,O81,O82,O84,O85)</f>
        <v>0</v>
      </c>
      <c r="P97" s="20" t="n">
        <f aca="false">D87+E87+F87+G87+H87+I87+J87+K87+L87+M87+N87+O87</f>
        <v>0</v>
      </c>
    </row>
    <row r="98" customFormat="false" ht="15" hidden="false" customHeight="true" outlineLevel="0" collapsed="false">
      <c r="A98" s="12" t="s">
        <v>211</v>
      </c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2"/>
    </row>
    <row r="99" customFormat="false" ht="15" hidden="false" customHeight="true" outlineLevel="0" collapsed="false">
      <c r="A99" s="13" t="s">
        <v>212</v>
      </c>
      <c r="B99" s="14" t="s">
        <v>213</v>
      </c>
      <c r="C99" s="13" t="s">
        <v>48</v>
      </c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</row>
    <row r="100" customFormat="false" ht="15" hidden="false" customHeight="true" outlineLevel="0" collapsed="false">
      <c r="A100" s="13" t="s">
        <v>214</v>
      </c>
      <c r="B100" s="14" t="s">
        <v>215</v>
      </c>
      <c r="C100" s="13" t="s">
        <v>48</v>
      </c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</row>
    <row r="101" customFormat="false" ht="15" hidden="false" customHeight="true" outlineLevel="0" collapsed="false">
      <c r="A101" s="13" t="s">
        <v>216</v>
      </c>
      <c r="B101" s="14" t="s">
        <v>217</v>
      </c>
      <c r="C101" s="13" t="s">
        <v>48</v>
      </c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</row>
    <row r="102" customFormat="false" ht="15" hidden="false" customHeight="true" outlineLevel="0" collapsed="false">
      <c r="A102" s="13" t="s">
        <v>218</v>
      </c>
      <c r="B102" s="14" t="s">
        <v>219</v>
      </c>
      <c r="C102" s="13" t="s">
        <v>48</v>
      </c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</row>
    <row r="103" customFormat="false" ht="15" hidden="false" customHeight="true" outlineLevel="0" collapsed="false">
      <c r="A103" s="13" t="s">
        <v>220</v>
      </c>
      <c r="B103" s="14" t="s">
        <v>221</v>
      </c>
      <c r="C103" s="13" t="s">
        <v>48</v>
      </c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</row>
    <row r="104" customFormat="false" ht="15" hidden="false" customHeight="true" outlineLevel="0" collapsed="false">
      <c r="A104" s="23" t="s">
        <v>57</v>
      </c>
      <c r="B104" s="24" t="s">
        <v>222</v>
      </c>
      <c r="C104" s="24" t="s">
        <v>48</v>
      </c>
      <c r="D104" s="24" t="n">
        <f aca="false">SUM(D88,D89,D90,D91,D92)</f>
        <v>0</v>
      </c>
      <c r="E104" s="24" t="n">
        <f aca="false">SUM(E88,E89,E90,E91,E92)</f>
        <v>0</v>
      </c>
      <c r="F104" s="24" t="n">
        <f aca="false">SUM(F88,F89,F90,F91,F92)</f>
        <v>0</v>
      </c>
      <c r="G104" s="24" t="n">
        <f aca="false">SUM(G88,G89,G90,G91,G92)</f>
        <v>0</v>
      </c>
      <c r="H104" s="24" t="n">
        <f aca="false">SUM(H88,H89,H90,H91,H92)</f>
        <v>0</v>
      </c>
      <c r="I104" s="24" t="n">
        <f aca="false">SUM(I88,I89,I90,I91,I92)</f>
        <v>0</v>
      </c>
      <c r="J104" s="24" t="n">
        <f aca="false">SUM(J88,J89,J90,J91,J92)</f>
        <v>0</v>
      </c>
      <c r="K104" s="24" t="n">
        <f aca="false">SUM(K88,K89,K90,K91,K92)</f>
        <v>0</v>
      </c>
      <c r="L104" s="24" t="n">
        <f aca="false">SUM(L88,L89,L90,L91,L92)</f>
        <v>0</v>
      </c>
      <c r="M104" s="24" t="n">
        <f aca="false">SUM(M88,M89,M90,M91,M92)</f>
        <v>0</v>
      </c>
      <c r="N104" s="24" t="n">
        <f aca="false">SUM(N88,N89,N90,N91,N92)</f>
        <v>0</v>
      </c>
      <c r="O104" s="24" t="n">
        <f aca="false">SUM(O88,O89,O90,O91,O92)</f>
        <v>0</v>
      </c>
      <c r="P104" s="20" t="n">
        <f aca="false">D93+E93+F93+G93+H93+I93+J93+K93+L93+M93+N93+O93</f>
        <v>0</v>
      </c>
    </row>
    <row r="105" customFormat="false" ht="15" hidden="false" customHeight="true" outlineLevel="0" collapsed="false">
      <c r="A105" s="12" t="s">
        <v>223</v>
      </c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2"/>
    </row>
    <row r="106" customFormat="false" ht="15" hidden="false" customHeight="true" outlineLevel="0" collapsed="false">
      <c r="A106" s="13" t="s">
        <v>224</v>
      </c>
      <c r="B106" s="14" t="s">
        <v>225</v>
      </c>
      <c r="C106" s="13" t="s">
        <v>226</v>
      </c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customFormat="false" ht="15" hidden="false" customHeight="true" outlineLevel="0" collapsed="false">
      <c r="A107" s="13" t="s">
        <v>227</v>
      </c>
      <c r="B107" s="14" t="s">
        <v>228</v>
      </c>
      <c r="C107" s="13" t="s">
        <v>226</v>
      </c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customFormat="false" ht="15" hidden="false" customHeight="true" outlineLevel="0" collapsed="false">
      <c r="A108" s="23" t="s">
        <v>57</v>
      </c>
      <c r="B108" s="24" t="s">
        <v>229</v>
      </c>
      <c r="C108" s="24" t="s">
        <v>226</v>
      </c>
      <c r="D108" s="24" t="n">
        <f aca="false">SUM(D94,D95)</f>
        <v>0</v>
      </c>
      <c r="E108" s="24" t="n">
        <f aca="false">SUM(E94,E95)</f>
        <v>0</v>
      </c>
      <c r="F108" s="24" t="n">
        <f aca="false">SUM(F94,F95)</f>
        <v>0</v>
      </c>
      <c r="G108" s="24" t="n">
        <f aca="false">SUM(G94,G95)</f>
        <v>0</v>
      </c>
      <c r="H108" s="24" t="n">
        <f aca="false">SUM(H94,H95)</f>
        <v>0</v>
      </c>
      <c r="I108" s="24" t="n">
        <f aca="false">SUM(I94,I95)</f>
        <v>0</v>
      </c>
      <c r="J108" s="24" t="n">
        <f aca="false">SUM(J94,J95)</f>
        <v>0</v>
      </c>
      <c r="K108" s="24" t="n">
        <f aca="false">SUM(K94,K95)</f>
        <v>0</v>
      </c>
      <c r="L108" s="24" t="n">
        <f aca="false">SUM(L94,L95)</f>
        <v>0</v>
      </c>
      <c r="M108" s="24" t="n">
        <f aca="false">SUM(M94,M95)</f>
        <v>0</v>
      </c>
      <c r="N108" s="24" t="n">
        <f aca="false">SUM(N94,N95)</f>
        <v>0</v>
      </c>
      <c r="O108" s="24" t="n">
        <f aca="false">SUM(O94,O95)</f>
        <v>0</v>
      </c>
      <c r="P108" s="20" t="n">
        <f aca="false">D96+E96+F96+G96+H96+I96+J96+K96+L96+M96+N96+O96</f>
        <v>0</v>
      </c>
    </row>
    <row r="109" customFormat="false" ht="15" hidden="false" customHeight="true" outlineLevel="0" collapsed="false">
      <c r="A109" s="26" t="s">
        <v>57</v>
      </c>
      <c r="B109" s="27" t="s">
        <v>230</v>
      </c>
      <c r="C109" s="27" t="s">
        <v>48</v>
      </c>
      <c r="P109" s="27" t="n">
        <f aca="false">(D6+E6+F6+G6+H6+I6+J6+K6+L6+M6+N6+O6)+(D7+E7+F7+G7+H7+I7+J7+K7+L7+M7+N7+O7)+(D8+E8+F8+G8+H8+I8+J8+K8+L8+M8+N8+O8)+(D9+E9+F9+G9+H9+I9+J9+K9+L9+M9+N9+O9)</f>
        <v>0</v>
      </c>
    </row>
    <row r="110" customFormat="false" ht="15" hidden="false" customHeight="false" outlineLevel="0" collapsed="false">
      <c r="A110" s="26" t="s">
        <v>57</v>
      </c>
      <c r="B110" s="27" t="s">
        <v>231</v>
      </c>
      <c r="C110" s="27" t="s">
        <v>48</v>
      </c>
      <c r="P110" s="27" t="n">
        <f aca="false">(D12+E12+F12+G12+H12+I12+J12+K12+L12+M12+N12+O12)+(D13+E13+F13+G13+H13+I13+J13+K13+L13+M13+N13+O13)+(D14+E14+F14+G14+H14+I14+J14+K14+L14+M14+N14+O14)+(D15+E15+F15+G15+H15+I15+J15+K15+L15+M15+N15+O15)+(D16+E16+F16+G16+H16+I16+J16+K16+L16+M16+N16+O16)+(D18+E18+F18+G18+H18+I18+J18+K18+L18+M18+N18+O18)+(D19+E19+F19+G19+H19+I19+J19+K19+L19+M19+N19+O19)</f>
        <v>0</v>
      </c>
    </row>
    <row r="111" customFormat="false" ht="15" hidden="false" customHeight="false" outlineLevel="0" collapsed="false">
      <c r="A111" s="26" t="s">
        <v>57</v>
      </c>
      <c r="B111" s="27" t="s">
        <v>232</v>
      </c>
      <c r="C111" s="27" t="s">
        <v>48</v>
      </c>
      <c r="P111" s="27" t="n">
        <f aca="false">(D22+E22+F22+G22+H22+I22+J22+K22+L22+M22+N22+O22)+(D23+E23+F23+G23+H23+I23+J23+K23+L23+M23+N23+O23)+(D24+E24+F24+G24+H24+I24+J24+K24+L24+M24+N24+O24)</f>
        <v>0</v>
      </c>
    </row>
    <row r="112" customFormat="false" ht="15" hidden="false" customHeight="false" outlineLevel="0" collapsed="false">
      <c r="A112" s="26" t="s">
        <v>57</v>
      </c>
      <c r="B112" s="27" t="s">
        <v>233</v>
      </c>
      <c r="C112" s="27" t="s">
        <v>48</v>
      </c>
      <c r="P112" s="27" t="n">
        <f aca="false">(D26+E26+F26+G26+H26+I26+J26+K26+L26+M26+N26+O26)+(D27+E27+F27+G27+H27+I27+J27+K27+L27+M27+N27+O27)+(D28+E28+F28+G28+H28+I28+J28+K28+L28+M28+N28+O28)+(D29+E29+F29+G29+H29+I29+J29+K29+L29+M29+N29+O29)+(D30+E30+F30+G30+H30+I30+J30+K30+L30+M30+N30+O30)</f>
        <v>0</v>
      </c>
    </row>
    <row r="113" customFormat="false" ht="15" hidden="false" customHeight="false" outlineLevel="0" collapsed="false">
      <c r="A113" s="26" t="s">
        <v>57</v>
      </c>
      <c r="B113" s="27" t="s">
        <v>234</v>
      </c>
      <c r="C113" s="27" t="s">
        <v>48</v>
      </c>
      <c r="P113" s="27" t="n">
        <f aca="false">(D32+E32+F32+G32+H32+I32+J32+K32+L32+M32+N32+O32)+(D33+E33+F33+G33+H33+I33+J33+K33+L33+M33+N33+O33)+(D34+E34+F34+G34+H34+I34+J34+K34+L34+M34+N34+O34)+(D35+E35+F35+G35+H35+I35+J35+K35+L35+M35+N35+O35)+(D36+E36+F36+G36+H36+I36+J36+K36+L36+M36+N36+O36)+(D37+E37+F37+G37+H37+I37+J37+K37+L37+M37+N37+O37)+(D38+E38+F38+G38+H38+I38+J38+K38+L38+M38+N38+O38)</f>
        <v>0</v>
      </c>
    </row>
    <row r="114" customFormat="false" ht="15" hidden="false" customHeight="false" outlineLevel="0" collapsed="false">
      <c r="A114" s="26" t="s">
        <v>57</v>
      </c>
      <c r="B114" s="27" t="s">
        <v>235</v>
      </c>
      <c r="C114" s="27" t="s">
        <v>48</v>
      </c>
      <c r="P114" s="27" t="n">
        <f aca="false">(D40+E40+F40+G40+H40+I40+J40+K40+L40+M40+N40+O40)+(D41+E41+F41+G41+H41+I41+J41+K41+L41+M41+N41+O41)+(D42+E42+F42+G42+H42+I42+J42+K42+L42+M42+N42+O42)+(D43+E43+F43+G43+H43+I43+J43+K43+L43+M43+N43+O43)</f>
        <v>0</v>
      </c>
    </row>
    <row r="115" customFormat="false" ht="15" hidden="false" customHeight="false" outlineLevel="0" collapsed="false">
      <c r="A115" s="26" t="s">
        <v>57</v>
      </c>
      <c r="B115" s="27" t="s">
        <v>236</v>
      </c>
      <c r="C115" s="27" t="s">
        <v>48</v>
      </c>
      <c r="P115" s="27" t="n">
        <f aca="false">(D46+E46+F46+G46+H46+I46+J46+K46+L46+M46+N46+O46)+(D47+E47+F47+G47+H47+I47+J47+K47+L47+M47+N47+O47)+(D48+E48+F48+G48+H48+I48+J48+K48+L48+M48+N48+O48)+(D49+E49+F49+G49+H49+I49+J49+K49+L49+M49+N49+O49)+(D50+E50+F50+G50+H50+I50+J50+K50+L50+M50+N50+O50)+(D52+E52+F52+G52+H52+I52+J52+K52+L52+M52+N52+O52)+(D53+E53+F53+G53+H53+I53+J53+K53+L53+M53+N53+O53)</f>
        <v>0</v>
      </c>
    </row>
    <row r="116" customFormat="false" ht="15" hidden="false" customHeight="false" outlineLevel="0" collapsed="false">
      <c r="A116" s="26" t="s">
        <v>57</v>
      </c>
      <c r="B116" s="27" t="s">
        <v>237</v>
      </c>
      <c r="C116" s="27" t="s">
        <v>48</v>
      </c>
      <c r="P116" s="27" t="n">
        <f aca="false">(D56+E56+F56+G56+H56+I56+J56+K56+L56+M56+N56+O56)+(D57+E57+F57+G57+H57+I57+J57+K57+L57+M57+N57+O57)+(D58+E58+F58+G58+H58+I58+J58+K58+L58+M58+N58+O58)+(D59+E59+F59+G59+H59+I59+J59+K59+L59+M59+N59+O59)+(D60+E60+F60+G60+H60+I60+J60+K60+L60+M60+N60+O60)+(D61+E61+F61+G61+H61+I61+J61+K61+L61+M61+N61+O61)</f>
        <v>0</v>
      </c>
    </row>
    <row r="117" customFormat="false" ht="15" hidden="false" customHeight="false" outlineLevel="0" collapsed="false">
      <c r="A117" s="26" t="s">
        <v>57</v>
      </c>
      <c r="B117" s="27" t="s">
        <v>238</v>
      </c>
      <c r="C117" s="27" t="s">
        <v>48</v>
      </c>
      <c r="P117" s="27" t="n">
        <f aca="false">(D63+E63+F63+G63+H63+I63+J63+K63+L63+M63+N63+O63)+(D64+E64+F64+G64+H64+I64+J64+K64+L64+M64+N64+O64)+(D65+E65+F65+G65+H65+I65+J65+K65+L65+M65+N65+O65)+(D66+E66+F66+G66+H66+I66+J66+K66+L66+M66+N66+O66)+(D67+E67+F67+G67+H67+I67+J67+K67+L67+M67+N67+O67)+(D69+E69+F69+G69+H69+I69+J69+K69+L69+M69+N69+O69)+(D70+E70+F70+G70+H70+I70+J70+K70+L70+M70+N70+O70)</f>
        <v>0</v>
      </c>
    </row>
    <row r="118" customFormat="false" ht="15" hidden="false" customHeight="false" outlineLevel="0" collapsed="false">
      <c r="A118" s="26" t="s">
        <v>57</v>
      </c>
      <c r="B118" s="27" t="s">
        <v>239</v>
      </c>
      <c r="C118" s="27" t="s">
        <v>48</v>
      </c>
      <c r="P118" s="27" t="n">
        <f aca="false">(D72+E72+F72+G72+H72+I72+J72+K72+L72+M72+N72+O72)+(D73+E73+F73+G73+H73+I73+J73+K73+L73+M73+N73+O73)+(D74+E74+F74+G74+H74+I74+J74+K74+L74+M74+N74+O74)+(D75+E75+F75+G75+H75+I75+J75+K75+L75+M75+N75+O75)</f>
        <v>0</v>
      </c>
    </row>
    <row r="119" customFormat="false" ht="15" hidden="false" customHeight="false" outlineLevel="0" collapsed="false">
      <c r="A119" s="26" t="s">
        <v>57</v>
      </c>
      <c r="B119" s="27" t="s">
        <v>240</v>
      </c>
      <c r="C119" s="27" t="s">
        <v>48</v>
      </c>
      <c r="P119" s="27" t="n">
        <f aca="false">(D78+E78+F78+G78+H78+I78+J78+K78+L78+M78+N78+O78)+(D79+E79+F79+G79+H79+I79+J79+K79+L79+M79+N79+O79)+(D80+E80+F80+G80+H80+I80+J80+K80+L80+M80+N80+O80)+(D81+E81+F81+G81+H81+I81+J81+K81+L81+M81+N81+O81)+(D82+E82+F82+G82+H82+I82+J82+K82+L82+M82+N82+O82)+(D84+E84+F84+G84+H84+I84+J84+K84+L84+M84+N84+O84)+(D85+E85+F85+G85+H85+I85+J85+K85+L85+M85+N85+O85)</f>
        <v>0</v>
      </c>
    </row>
    <row r="120" customFormat="false" ht="15" hidden="false" customHeight="false" outlineLevel="0" collapsed="false">
      <c r="A120" s="26" t="s">
        <v>57</v>
      </c>
      <c r="B120" s="27" t="s">
        <v>241</v>
      </c>
      <c r="C120" s="27" t="s">
        <v>48</v>
      </c>
      <c r="P120" s="27" t="n">
        <f aca="false">(D88+E88+F88+G88+H88+I88+J88+K88+L88+M88+N88+O88)+(D89+E89+F89+G89+H89+I89+J89+K89+L89+M89+N89+O89)+(D90+E90+F90+G90+H90+I90+J90+K90+L90+M90+N90+O90)+(D91+E91+F91+G91+H91+I91+J91+K91+L91+M91+N91+O91)+(D92+E92+F92+G92+H92+I92+J92+K92+L92+M92+N92+O92)</f>
        <v>0</v>
      </c>
    </row>
    <row r="121" customFormat="false" ht="15" hidden="false" customHeight="false" outlineLevel="0" collapsed="false">
      <c r="A121" s="26" t="s">
        <v>57</v>
      </c>
      <c r="B121" s="27" t="s">
        <v>242</v>
      </c>
      <c r="C121" s="27" t="s">
        <v>226</v>
      </c>
      <c r="P121" s="27" t="n">
        <f aca="false">(D94+E94+F94+G94+H94+I94+J94+K94+L94+M94+N94+O94)</f>
        <v>0</v>
      </c>
    </row>
    <row r="122" customFormat="false" ht="15" hidden="false" customHeight="false" outlineLevel="0" collapsed="false">
      <c r="A122" s="26" t="s">
        <v>57</v>
      </c>
      <c r="B122" s="27" t="s">
        <v>243</v>
      </c>
      <c r="C122" s="27" t="s">
        <v>226</v>
      </c>
      <c r="P122" s="27" t="n">
        <f aca="false">(D95+E95+F95+G95+H95+I95+J95+K95+L95+M95+N95+O95)</f>
        <v>0</v>
      </c>
    </row>
  </sheetData>
  <mergeCells count="15">
    <mergeCell ref="A1:O1"/>
    <mergeCell ref="A2:O2"/>
    <mergeCell ref="A5:O5"/>
    <mergeCell ref="A11:O11"/>
    <mergeCell ref="A21:O21"/>
    <mergeCell ref="A25:O25"/>
    <mergeCell ref="A31:O31"/>
    <mergeCell ref="A39:O39"/>
    <mergeCell ref="A45:O45"/>
    <mergeCell ref="A55:O55"/>
    <mergeCell ref="A62:O62"/>
    <mergeCell ref="A71:O71"/>
    <mergeCell ref="A77:O77"/>
    <mergeCell ref="A87:O87"/>
    <mergeCell ref="A93:O9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5"/>
    <col collapsed="false" customWidth="true" hidden="false" outlineLevel="0" max="3" min="3" style="1" width="10"/>
    <col collapsed="false" customWidth="true" hidden="false" outlineLevel="0" max="15" min="4" style="1" width="14"/>
    <col collapsed="false" customWidth="true" hidden="false" outlineLevel="0" max="16" min="16" style="1" width="16"/>
  </cols>
  <sheetData>
    <row r="1" customFormat="false" ht="30" hidden="false" customHeight="true" outlineLevel="0" collapsed="false">
      <c r="A1" s="8" t="s">
        <v>244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</row>
    <row r="2" customFormat="false" ht="19.5" hidden="false" customHeight="true" outlineLevel="0" collapsed="false">
      <c r="A2" s="9" t="s">
        <v>28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4" customFormat="false" ht="24.75" hidden="false" customHeight="true" outlineLevel="0" collapsed="false">
      <c r="A4" s="10" t="s">
        <v>29</v>
      </c>
      <c r="B4" s="10" t="s">
        <v>30</v>
      </c>
      <c r="C4" s="10" t="s">
        <v>31</v>
      </c>
      <c r="D4" s="10" t="s">
        <v>32</v>
      </c>
      <c r="E4" s="10" t="s">
        <v>33</v>
      </c>
      <c r="F4" s="10" t="s">
        <v>34</v>
      </c>
      <c r="G4" s="10" t="s">
        <v>35</v>
      </c>
      <c r="H4" s="10" t="s">
        <v>36</v>
      </c>
      <c r="I4" s="10" t="s">
        <v>37</v>
      </c>
      <c r="J4" s="10" t="s">
        <v>38</v>
      </c>
      <c r="K4" s="10" t="s">
        <v>39</v>
      </c>
      <c r="L4" s="10" t="s">
        <v>40</v>
      </c>
      <c r="M4" s="10" t="s">
        <v>41</v>
      </c>
      <c r="N4" s="10" t="s">
        <v>42</v>
      </c>
      <c r="O4" s="10" t="s">
        <v>43</v>
      </c>
      <c r="P4" s="11" t="s">
        <v>44</v>
      </c>
    </row>
    <row r="5" customFormat="false" ht="21.75" hidden="false" customHeight="true" outlineLevel="0" collapsed="false">
      <c r="A5" s="12" t="s">
        <v>245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</row>
    <row r="6" customFormat="false" ht="19.5" hidden="false" customHeight="true" outlineLevel="0" collapsed="false">
      <c r="A6" s="13" t="s">
        <v>246</v>
      </c>
      <c r="B6" s="14" t="s">
        <v>247</v>
      </c>
      <c r="C6" s="13" t="s">
        <v>48</v>
      </c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</row>
    <row r="7" customFormat="false" ht="19.5" hidden="false" customHeight="true" outlineLevel="0" collapsed="false">
      <c r="A7" s="13" t="s">
        <v>248</v>
      </c>
      <c r="B7" s="14" t="s">
        <v>249</v>
      </c>
      <c r="C7" s="13" t="s">
        <v>48</v>
      </c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</row>
    <row r="8" customFormat="false" ht="21.75" hidden="false" customHeight="true" outlineLevel="0" collapsed="false">
      <c r="A8" s="19" t="s">
        <v>57</v>
      </c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20" t="n">
        <f aca="false">D8+E8+F8+G8+H8+I8+J8+K8+L8+M8+N8+O8</f>
        <v>0</v>
      </c>
    </row>
    <row r="9" customFormat="false" ht="19.5" hidden="false" customHeight="true" outlineLevel="0" collapsed="false">
      <c r="A9" s="12" t="s">
        <v>250</v>
      </c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2"/>
    </row>
    <row r="10" customFormat="false" ht="19.5" hidden="false" customHeight="true" outlineLevel="0" collapsed="false">
      <c r="A10" s="13" t="s">
        <v>251</v>
      </c>
      <c r="B10" s="14" t="s">
        <v>252</v>
      </c>
      <c r="C10" s="13" t="s">
        <v>48</v>
      </c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</row>
    <row r="11" customFormat="false" ht="21.75" hidden="false" customHeight="true" outlineLevel="0" collapsed="false">
      <c r="A11" s="13" t="s">
        <v>253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</row>
    <row r="12" customFormat="false" ht="19.5" hidden="false" customHeight="true" outlineLevel="0" collapsed="false">
      <c r="A12" s="23" t="s">
        <v>57</v>
      </c>
      <c r="B12" s="24" t="s">
        <v>254</v>
      </c>
      <c r="C12" s="24" t="s">
        <v>48</v>
      </c>
      <c r="D12" s="24" t="n">
        <f aca="false">SUM(D9,D10)</f>
        <v>0</v>
      </c>
      <c r="E12" s="24" t="n">
        <f aca="false">SUM(E9,E10)</f>
        <v>0</v>
      </c>
      <c r="F12" s="24" t="n">
        <f aca="false">SUM(F9,F10)</f>
        <v>0</v>
      </c>
      <c r="G12" s="24" t="n">
        <f aca="false">SUM(G9,G10)</f>
        <v>0</v>
      </c>
      <c r="H12" s="24" t="n">
        <f aca="false">SUM(H9,H10)</f>
        <v>0</v>
      </c>
      <c r="I12" s="24" t="n">
        <f aca="false">SUM(I9,I10)</f>
        <v>0</v>
      </c>
      <c r="J12" s="24" t="n">
        <f aca="false">SUM(J9,J10)</f>
        <v>0</v>
      </c>
      <c r="K12" s="24" t="n">
        <f aca="false">SUM(K9,K10)</f>
        <v>0</v>
      </c>
      <c r="L12" s="24" t="n">
        <f aca="false">SUM(L9,L10)</f>
        <v>0</v>
      </c>
      <c r="M12" s="24" t="n">
        <f aca="false">SUM(M9,M10)</f>
        <v>0</v>
      </c>
      <c r="N12" s="24" t="n">
        <f aca="false">SUM(N9,N10)</f>
        <v>0</v>
      </c>
      <c r="O12" s="24" t="n">
        <f aca="false">SUM(O9,O10)</f>
        <v>0</v>
      </c>
      <c r="P12" s="20" t="n">
        <f aca="false">D11+E11+F11+G11+H11+I11+J11+K11+L11+M11+N11+O11</f>
        <v>0</v>
      </c>
    </row>
    <row r="13" customFormat="false" ht="19.5" hidden="false" customHeight="true" outlineLevel="0" collapsed="false">
      <c r="A13" s="12" t="s">
        <v>255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2"/>
    </row>
    <row r="14" customFormat="false" ht="19.5" hidden="false" customHeight="true" outlineLevel="0" collapsed="false">
      <c r="A14" s="13" t="s">
        <v>256</v>
      </c>
      <c r="B14" s="14" t="s">
        <v>257</v>
      </c>
      <c r="C14" s="13" t="s">
        <v>48</v>
      </c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</row>
    <row r="15" customFormat="false" ht="15" hidden="false" customHeight="true" outlineLevel="0" collapsed="false">
      <c r="A15" s="13" t="s">
        <v>258</v>
      </c>
      <c r="B15" s="14" t="s">
        <v>259</v>
      </c>
      <c r="C15" s="13" t="s">
        <v>48</v>
      </c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</row>
    <row r="16" customFormat="false" ht="15" hidden="false" customHeight="true" outlineLevel="0" collapsed="false">
      <c r="A16" s="13" t="s">
        <v>260</v>
      </c>
      <c r="B16" s="14" t="s">
        <v>261</v>
      </c>
      <c r="C16" s="13" t="s">
        <v>48</v>
      </c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</row>
    <row r="17" customFormat="false" ht="15" hidden="false" customHeight="true" outlineLevel="0" collapsed="false">
      <c r="A17" s="23" t="s">
        <v>57</v>
      </c>
      <c r="B17" s="24" t="s">
        <v>262</v>
      </c>
      <c r="C17" s="24" t="s">
        <v>48</v>
      </c>
      <c r="D17" s="24" t="n">
        <f aca="false">SUM(D12,D13,D14)</f>
        <v>0</v>
      </c>
      <c r="E17" s="24" t="n">
        <f aca="false">SUM(E12,E13,E14)</f>
        <v>0</v>
      </c>
      <c r="F17" s="24" t="n">
        <f aca="false">SUM(F12,F13,F14)</f>
        <v>0</v>
      </c>
      <c r="G17" s="24" t="n">
        <f aca="false">SUM(G12,G13,G14)</f>
        <v>0</v>
      </c>
      <c r="H17" s="24" t="n">
        <f aca="false">SUM(H12,H13,H14)</f>
        <v>0</v>
      </c>
      <c r="I17" s="24" t="n">
        <f aca="false">SUM(I12,I13,I14)</f>
        <v>0</v>
      </c>
      <c r="J17" s="24" t="n">
        <f aca="false">SUM(J12,J13,J14)</f>
        <v>0</v>
      </c>
      <c r="K17" s="24" t="n">
        <f aca="false">SUM(K12,K13,K14)</f>
        <v>0</v>
      </c>
      <c r="L17" s="24" t="n">
        <f aca="false">SUM(L12,L13,L14)</f>
        <v>0</v>
      </c>
      <c r="M17" s="24" t="n">
        <f aca="false">SUM(M12,M13,M14)</f>
        <v>0</v>
      </c>
      <c r="N17" s="24" t="n">
        <f aca="false">SUM(N12,N13,N14)</f>
        <v>0</v>
      </c>
      <c r="O17" s="24" t="n">
        <f aca="false">SUM(O12,O13,O14)</f>
        <v>0</v>
      </c>
      <c r="P17" s="20" t="n">
        <f aca="false">D15+E15+F15+G15+H15+I15+J15+K15+L15+M15+N15+O15</f>
        <v>0</v>
      </c>
    </row>
    <row r="18" customFormat="false" ht="15" hidden="false" customHeight="true" outlineLevel="0" collapsed="false">
      <c r="A18" s="26" t="s">
        <v>57</v>
      </c>
      <c r="B18" s="27" t="s">
        <v>263</v>
      </c>
      <c r="C18" s="27" t="s">
        <v>48</v>
      </c>
      <c r="P18" s="27" t="n">
        <f aca="false">(D6+E6+F6+G6+H6+I6+J6+K6+L6+M6+N6+O6)+(D7+E7+F7+G7+H7+I7+J7+K7+L7+M7+N7+O7)</f>
        <v>0</v>
      </c>
    </row>
    <row r="19" customFormat="false" ht="15" hidden="false" customHeight="false" outlineLevel="0" collapsed="false">
      <c r="A19" s="26" t="s">
        <v>57</v>
      </c>
      <c r="B19" s="27" t="s">
        <v>264</v>
      </c>
      <c r="C19" s="27" t="s">
        <v>48</v>
      </c>
      <c r="P19" s="27" t="n">
        <f aca="false">(D9+E9+F9+G9+H9+I9+J9+K9+L9+M9+N9+O9)</f>
        <v>0</v>
      </c>
    </row>
    <row r="20" customFormat="false" ht="15" hidden="false" customHeight="false" outlineLevel="0" collapsed="false">
      <c r="A20" s="26" t="s">
        <v>57</v>
      </c>
      <c r="B20" s="27" t="s">
        <v>265</v>
      </c>
      <c r="C20" s="27" t="s">
        <v>226</v>
      </c>
      <c r="P20" s="27" t="n">
        <f aca="false">(D10+E10+F10+G10+H10+I10+J10+K10+L10+M10+N10+O10)</f>
        <v>0</v>
      </c>
    </row>
    <row r="21" customFormat="false" ht="15" hidden="false" customHeight="false" outlineLevel="0" collapsed="false">
      <c r="A21" s="26" t="s">
        <v>57</v>
      </c>
      <c r="B21" s="27" t="s">
        <v>266</v>
      </c>
      <c r="C21" s="27" t="s">
        <v>48</v>
      </c>
      <c r="P21" s="27" t="n">
        <f aca="false">(D12+E12+F12+G12+H12+I12+J12+K12+L12+M12+N12+O12)+(D13+E13+F13+G13+H13+I13+J13+K13+L13+M13+N13+O13)+(D14+E14+F14+G14+H14+I14+J14+K14+L14+M14+N14+O14)</f>
        <v>0</v>
      </c>
    </row>
  </sheetData>
  <mergeCells count="5">
    <mergeCell ref="A1:O1"/>
    <mergeCell ref="A2:O2"/>
    <mergeCell ref="A5:O5"/>
    <mergeCell ref="A8:O8"/>
    <mergeCell ref="A11:O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5"/>
    <col collapsed="false" customWidth="true" hidden="false" outlineLevel="0" max="3" min="3" style="1" width="10"/>
    <col collapsed="false" customWidth="true" hidden="false" outlineLevel="0" max="15" min="4" style="1" width="14"/>
    <col collapsed="false" customWidth="true" hidden="false" outlineLevel="0" max="16" min="16" style="1" width="16"/>
  </cols>
  <sheetData>
    <row r="1" customFormat="false" ht="30" hidden="false" customHeight="true" outlineLevel="0" collapsed="false">
      <c r="A1" s="8" t="s">
        <v>267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</row>
    <row r="2" customFormat="false" ht="19.5" hidden="false" customHeight="true" outlineLevel="0" collapsed="false">
      <c r="A2" s="9" t="s">
        <v>28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4" customFormat="false" ht="24.75" hidden="false" customHeight="true" outlineLevel="0" collapsed="false">
      <c r="A4" s="10" t="s">
        <v>29</v>
      </c>
      <c r="B4" s="10" t="s">
        <v>30</v>
      </c>
      <c r="C4" s="10" t="s">
        <v>31</v>
      </c>
      <c r="D4" s="10" t="s">
        <v>32</v>
      </c>
      <c r="E4" s="10" t="s">
        <v>33</v>
      </c>
      <c r="F4" s="10" t="s">
        <v>34</v>
      </c>
      <c r="G4" s="10" t="s">
        <v>35</v>
      </c>
      <c r="H4" s="10" t="s">
        <v>36</v>
      </c>
      <c r="I4" s="10" t="s">
        <v>37</v>
      </c>
      <c r="J4" s="10" t="s">
        <v>38</v>
      </c>
      <c r="K4" s="10" t="s">
        <v>39</v>
      </c>
      <c r="L4" s="10" t="s">
        <v>40</v>
      </c>
      <c r="M4" s="10" t="s">
        <v>41</v>
      </c>
      <c r="N4" s="10" t="s">
        <v>42</v>
      </c>
      <c r="O4" s="10" t="s">
        <v>43</v>
      </c>
      <c r="P4" s="11" t="s">
        <v>44</v>
      </c>
    </row>
    <row r="5" customFormat="false" ht="21.75" hidden="false" customHeight="true" outlineLevel="0" collapsed="false">
      <c r="A5" s="12" t="s">
        <v>268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</row>
    <row r="6" customFormat="false" ht="19.5" hidden="false" customHeight="true" outlineLevel="0" collapsed="false">
      <c r="A6" s="13" t="s">
        <v>269</v>
      </c>
      <c r="B6" s="14" t="s">
        <v>270</v>
      </c>
      <c r="C6" s="13" t="s">
        <v>48</v>
      </c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</row>
    <row r="7" customFormat="false" ht="19.5" hidden="false" customHeight="true" outlineLevel="0" collapsed="false">
      <c r="A7" s="13" t="s">
        <v>271</v>
      </c>
      <c r="B7" s="14" t="s">
        <v>272</v>
      </c>
      <c r="C7" s="13" t="s">
        <v>48</v>
      </c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</row>
    <row r="8" customFormat="false" ht="19.5" hidden="false" customHeight="true" outlineLevel="0" collapsed="false">
      <c r="A8" s="13" t="s">
        <v>273</v>
      </c>
      <c r="B8" s="14" t="s">
        <v>274</v>
      </c>
      <c r="C8" s="13" t="s">
        <v>48</v>
      </c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</row>
    <row r="9" customFormat="false" ht="19.5" hidden="false" customHeight="true" outlineLevel="0" collapsed="false">
      <c r="A9" s="13" t="s">
        <v>275</v>
      </c>
      <c r="B9" s="14" t="s">
        <v>276</v>
      </c>
      <c r="C9" s="13" t="s">
        <v>48</v>
      </c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</row>
    <row r="10" customFormat="false" ht="19.5" hidden="false" customHeight="true" outlineLevel="0" collapsed="false">
      <c r="A10" s="13" t="s">
        <v>277</v>
      </c>
      <c r="B10" s="14" t="s">
        <v>278</v>
      </c>
      <c r="C10" s="13" t="s">
        <v>48</v>
      </c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</row>
    <row r="11" customFormat="false" ht="19.5" hidden="false" customHeight="true" outlineLevel="0" collapsed="false">
      <c r="A11" s="16" t="s">
        <v>279</v>
      </c>
      <c r="B11" s="17" t="s">
        <v>280</v>
      </c>
      <c r="C11" s="13" t="s">
        <v>48</v>
      </c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</row>
    <row r="12" customFormat="false" ht="21.75" hidden="false" customHeight="true" outlineLevel="0" collapsed="false">
      <c r="A12" s="19" t="s">
        <v>57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20" t="n">
        <f aca="false">D12+E12+F12+G12+H12+I12+J12+K12+L12+M12+N12+O12</f>
        <v>0</v>
      </c>
    </row>
    <row r="13" customFormat="false" ht="19.5" hidden="false" customHeight="true" outlineLevel="0" collapsed="false">
      <c r="A13" s="12" t="s">
        <v>281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2"/>
    </row>
    <row r="14" customFormat="false" ht="19.5" hidden="false" customHeight="true" outlineLevel="0" collapsed="false">
      <c r="A14" s="13" t="s">
        <v>282</v>
      </c>
      <c r="B14" s="14" t="s">
        <v>283</v>
      </c>
      <c r="C14" s="13" t="s">
        <v>48</v>
      </c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</row>
    <row r="15" customFormat="false" ht="19.5" hidden="false" customHeight="true" outlineLevel="0" collapsed="false">
      <c r="A15" s="13" t="s">
        <v>284</v>
      </c>
      <c r="B15" s="14" t="s">
        <v>285</v>
      </c>
      <c r="C15" s="13" t="s">
        <v>48</v>
      </c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</row>
    <row r="16" customFormat="false" ht="19.5" hidden="false" customHeight="true" outlineLevel="0" collapsed="false">
      <c r="A16" s="13" t="s">
        <v>286</v>
      </c>
      <c r="B16" s="14" t="s">
        <v>287</v>
      </c>
      <c r="C16" s="13" t="s">
        <v>48</v>
      </c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</row>
    <row r="17" customFormat="false" ht="19.5" hidden="false" customHeight="true" outlineLevel="0" collapsed="false">
      <c r="A17" s="13" t="s">
        <v>288</v>
      </c>
      <c r="B17" s="14" t="s">
        <v>289</v>
      </c>
      <c r="C17" s="13" t="s">
        <v>48</v>
      </c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</row>
    <row r="18" customFormat="false" ht="19.5" hidden="false" customHeight="true" outlineLevel="0" collapsed="false">
      <c r="A18" s="13" t="s">
        <v>290</v>
      </c>
      <c r="B18" s="14" t="s">
        <v>291</v>
      </c>
      <c r="C18" s="13" t="s">
        <v>48</v>
      </c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</row>
    <row r="19" customFormat="false" ht="19.5" hidden="false" customHeight="true" outlineLevel="0" collapsed="false">
      <c r="A19" s="13" t="s">
        <v>292</v>
      </c>
      <c r="B19" s="14" t="s">
        <v>293</v>
      </c>
      <c r="C19" s="13" t="s">
        <v>48</v>
      </c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</row>
    <row r="20" customFormat="false" ht="19.5" hidden="false" customHeight="true" outlineLevel="0" collapsed="false">
      <c r="A20" s="13" t="s">
        <v>294</v>
      </c>
      <c r="B20" s="14" t="s">
        <v>295</v>
      </c>
      <c r="C20" s="13" t="s">
        <v>48</v>
      </c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</row>
    <row r="21" customFormat="false" ht="19.5" hidden="false" customHeight="true" outlineLevel="0" collapsed="false">
      <c r="A21" s="13" t="s">
        <v>296</v>
      </c>
      <c r="B21" s="14" t="s">
        <v>297</v>
      </c>
      <c r="C21" s="13" t="s">
        <v>48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</row>
    <row r="22" customFormat="false" ht="19.5" hidden="false" customHeight="true" outlineLevel="0" collapsed="false">
      <c r="A22" s="13" t="s">
        <v>298</v>
      </c>
      <c r="B22" s="14" t="s">
        <v>299</v>
      </c>
      <c r="C22" s="13" t="s">
        <v>48</v>
      </c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</row>
    <row r="23" customFormat="false" ht="19.5" hidden="false" customHeight="true" outlineLevel="0" collapsed="false">
      <c r="A23" s="13" t="s">
        <v>300</v>
      </c>
      <c r="B23" s="14" t="s">
        <v>301</v>
      </c>
      <c r="C23" s="13" t="s">
        <v>48</v>
      </c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</row>
    <row r="24" customFormat="false" ht="21.75" hidden="false" customHeight="true" outlineLevel="0" collapsed="false">
      <c r="A24" s="16" t="s">
        <v>302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</row>
    <row r="25" customFormat="false" ht="19.5" hidden="false" customHeight="true" outlineLevel="0" collapsed="false">
      <c r="A25" s="23" t="s">
        <v>57</v>
      </c>
      <c r="B25" s="24" t="s">
        <v>303</v>
      </c>
      <c r="C25" s="24" t="s">
        <v>48</v>
      </c>
      <c r="D25" s="24" t="n">
        <f aca="false">SUM(D13,D14,D15,D16,D17,D18,D19,D20,D21,D22)</f>
        <v>0</v>
      </c>
      <c r="E25" s="24" t="n">
        <f aca="false">SUM(E13,E14,E15,E16,E17,E18,E19,E20,E21,E22)</f>
        <v>0</v>
      </c>
      <c r="F25" s="24" t="n">
        <f aca="false">SUM(F13,F14,F15,F16,F17,F18,F19,F20,F21,F22)</f>
        <v>0</v>
      </c>
      <c r="G25" s="24" t="n">
        <f aca="false">SUM(G13,G14,G15,G16,G17,G18,G19,G20,G21,G22)</f>
        <v>0</v>
      </c>
      <c r="H25" s="24" t="n">
        <f aca="false">SUM(H13,H14,H15,H16,H17,H18,H19,H20,H21,H22)</f>
        <v>0</v>
      </c>
      <c r="I25" s="24" t="n">
        <f aca="false">SUM(I13,I14,I15,I16,I17,I18,I19,I20,I21,I22)</f>
        <v>0</v>
      </c>
      <c r="J25" s="24" t="n">
        <f aca="false">SUM(J13,J14,J15,J16,J17,J18,J19,J20,J21,J22)</f>
        <v>0</v>
      </c>
      <c r="K25" s="24" t="n">
        <f aca="false">SUM(K13,K14,K15,K16,K17,K18,K19,K20,K21,K22)</f>
        <v>0</v>
      </c>
      <c r="L25" s="24" t="n">
        <f aca="false">SUM(L13,L14,L15,L16,L17,L18,L19,L20,L21,L22)</f>
        <v>0</v>
      </c>
      <c r="M25" s="24" t="n">
        <f aca="false">SUM(M13,M14,M15,M16,M17,M18,M19,M20,M21,M22)</f>
        <v>0</v>
      </c>
      <c r="N25" s="24" t="n">
        <f aca="false">SUM(N13,N14,N15,N16,N17,N18,N19,N20,N21,N22)</f>
        <v>0</v>
      </c>
      <c r="O25" s="24" t="n">
        <f aca="false">SUM(O13,O14,O15,O16,O17,O18,O19,O20,O21,O22)</f>
        <v>0</v>
      </c>
      <c r="P25" s="20" t="n">
        <f aca="false">D24+E24+F24+G24+H24+I24+J24+K24+L24+M24+N24+O24</f>
        <v>0</v>
      </c>
    </row>
    <row r="26" customFormat="false" ht="19.5" hidden="false" customHeight="true" outlineLevel="0" collapsed="false">
      <c r="A26" s="12" t="s">
        <v>304</v>
      </c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2"/>
    </row>
    <row r="27" customFormat="false" ht="19.5" hidden="false" customHeight="true" outlineLevel="0" collapsed="false">
      <c r="A27" s="13" t="s">
        <v>305</v>
      </c>
      <c r="B27" s="14" t="s">
        <v>306</v>
      </c>
      <c r="C27" s="13" t="s">
        <v>48</v>
      </c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customFormat="false" ht="19.5" hidden="false" customHeight="true" outlineLevel="0" collapsed="false">
      <c r="A28" s="13" t="s">
        <v>307</v>
      </c>
      <c r="B28" s="14" t="s">
        <v>308</v>
      </c>
      <c r="C28" s="13" t="s">
        <v>48</v>
      </c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customFormat="false" ht="19.5" hidden="false" customHeight="true" outlineLevel="0" collapsed="false">
      <c r="A29" s="13" t="s">
        <v>309</v>
      </c>
      <c r="B29" s="14" t="s">
        <v>310</v>
      </c>
      <c r="C29" s="13" t="s">
        <v>48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</row>
    <row r="30" customFormat="false" ht="19.5" hidden="false" customHeight="true" outlineLevel="0" collapsed="false">
      <c r="A30" s="13" t="s">
        <v>311</v>
      </c>
      <c r="B30" s="14" t="s">
        <v>312</v>
      </c>
      <c r="C30" s="13" t="s">
        <v>48</v>
      </c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</row>
    <row r="31" customFormat="false" ht="19.5" hidden="false" customHeight="true" outlineLevel="0" collapsed="false">
      <c r="A31" s="13" t="s">
        <v>313</v>
      </c>
      <c r="B31" s="14" t="s">
        <v>314</v>
      </c>
      <c r="C31" s="13" t="s">
        <v>48</v>
      </c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</row>
    <row r="32" customFormat="false" ht="19.5" hidden="false" customHeight="true" outlineLevel="0" collapsed="false">
      <c r="A32" s="13" t="s">
        <v>315</v>
      </c>
      <c r="B32" s="14" t="s">
        <v>316</v>
      </c>
      <c r="C32" s="13" t="s">
        <v>48</v>
      </c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</row>
    <row r="33" customFormat="false" ht="19.5" hidden="false" customHeight="true" outlineLevel="0" collapsed="false">
      <c r="A33" s="13" t="s">
        <v>317</v>
      </c>
      <c r="B33" s="14" t="s">
        <v>318</v>
      </c>
      <c r="C33" s="13" t="s">
        <v>48</v>
      </c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</row>
    <row r="34" customFormat="false" ht="19.5" hidden="false" customHeight="true" outlineLevel="0" collapsed="false">
      <c r="A34" s="16" t="s">
        <v>319</v>
      </c>
      <c r="B34" s="17" t="s">
        <v>320</v>
      </c>
      <c r="C34" s="13" t="s">
        <v>48</v>
      </c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</row>
    <row r="35" customFormat="false" ht="19.5" hidden="false" customHeight="true" outlineLevel="0" collapsed="false">
      <c r="A35" s="13" t="s">
        <v>321</v>
      </c>
      <c r="B35" s="14" t="s">
        <v>322</v>
      </c>
      <c r="C35" s="13" t="s">
        <v>48</v>
      </c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</row>
    <row r="36" customFormat="false" ht="21.75" hidden="false" customHeight="true" outlineLevel="0" collapsed="false">
      <c r="A36" s="13" t="s">
        <v>323</v>
      </c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</row>
    <row r="37" customFormat="false" ht="19.5" hidden="false" customHeight="true" outlineLevel="0" collapsed="false">
      <c r="A37" s="16" t="s">
        <v>324</v>
      </c>
      <c r="B37" s="17" t="s">
        <v>325</v>
      </c>
      <c r="C37" s="13" t="s">
        <v>48</v>
      </c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</row>
    <row r="38" customFormat="false" ht="19.5" hidden="false" customHeight="true" outlineLevel="0" collapsed="false">
      <c r="A38" s="23" t="s">
        <v>57</v>
      </c>
      <c r="B38" s="24" t="s">
        <v>326</v>
      </c>
      <c r="C38" s="24" t="s">
        <v>48</v>
      </c>
      <c r="D38" s="24" t="n">
        <f aca="false">SUM(D25,D26,D27,D28,D29,D30,D31,D33,D34)</f>
        <v>0</v>
      </c>
      <c r="E38" s="24" t="n">
        <f aca="false">SUM(E25,E26,E27,E28,E29,E30,E31,E33,E34)</f>
        <v>0</v>
      </c>
      <c r="F38" s="24" t="n">
        <f aca="false">SUM(F25,F26,F27,F28,F29,F30,F31,F33,F34)</f>
        <v>0</v>
      </c>
      <c r="G38" s="24" t="n">
        <f aca="false">SUM(G25,G26,G27,G28,G29,G30,G31,G33,G34)</f>
        <v>0</v>
      </c>
      <c r="H38" s="24" t="n">
        <f aca="false">SUM(H25,H26,H27,H28,H29,H30,H31,H33,H34)</f>
        <v>0</v>
      </c>
      <c r="I38" s="24" t="n">
        <f aca="false">SUM(I25,I26,I27,I28,I29,I30,I31,I33,I34)</f>
        <v>0</v>
      </c>
      <c r="J38" s="24" t="n">
        <f aca="false">SUM(J25,J26,J27,J28,J29,J30,J31,J33,J34)</f>
        <v>0</v>
      </c>
      <c r="K38" s="24" t="n">
        <f aca="false">SUM(K25,K26,K27,K28,K29,K30,K31,K33,K34)</f>
        <v>0</v>
      </c>
      <c r="L38" s="24" t="n">
        <f aca="false">SUM(L25,L26,L27,L28,L29,L30,L31,L33,L34)</f>
        <v>0</v>
      </c>
      <c r="M38" s="24" t="n">
        <f aca="false">SUM(M25,M26,M27,M28,M29,M30,M31,M33,M34)</f>
        <v>0</v>
      </c>
      <c r="N38" s="24" t="n">
        <f aca="false">SUM(N25,N26,N27,N28,N29,N30,N31,N33,N34)</f>
        <v>0</v>
      </c>
      <c r="O38" s="24" t="n">
        <f aca="false">SUM(O25,O26,O27,O28,O29,O30,O31,O33,O34)</f>
        <v>0</v>
      </c>
      <c r="P38" s="20" t="n">
        <f aca="false">D36+E36+F36+G36+H36+I36+J36+K36+L36+M36+N36+O36</f>
        <v>0</v>
      </c>
    </row>
    <row r="39" customFormat="false" ht="19.5" hidden="false" customHeight="true" outlineLevel="0" collapsed="false">
      <c r="A39" s="12" t="s">
        <v>327</v>
      </c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2"/>
    </row>
    <row r="40" customFormat="false" ht="19.5" hidden="false" customHeight="true" outlineLevel="0" collapsed="false">
      <c r="A40" s="13" t="s">
        <v>328</v>
      </c>
      <c r="B40" s="14" t="s">
        <v>329</v>
      </c>
      <c r="C40" s="13" t="s">
        <v>48</v>
      </c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</row>
    <row r="41" customFormat="false" ht="15" hidden="false" customHeight="true" outlineLevel="0" collapsed="false">
      <c r="A41" s="13" t="s">
        <v>330</v>
      </c>
      <c r="B41" s="14" t="s">
        <v>331</v>
      </c>
      <c r="C41" s="13" t="s">
        <v>48</v>
      </c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</row>
    <row r="42" customFormat="false" ht="15" hidden="false" customHeight="true" outlineLevel="0" collapsed="false">
      <c r="A42" s="13" t="s">
        <v>332</v>
      </c>
      <c r="B42" s="14" t="s">
        <v>333</v>
      </c>
      <c r="C42" s="13" t="s">
        <v>48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</row>
    <row r="43" customFormat="false" ht="15" hidden="false" customHeight="true" outlineLevel="0" collapsed="false">
      <c r="A43" s="13" t="s">
        <v>334</v>
      </c>
      <c r="B43" s="14" t="s">
        <v>335</v>
      </c>
      <c r="C43" s="13" t="s">
        <v>48</v>
      </c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</row>
    <row r="44" customFormat="false" ht="15" hidden="false" customHeight="true" outlineLevel="0" collapsed="false">
      <c r="A44" s="23" t="s">
        <v>57</v>
      </c>
      <c r="B44" s="24" t="s">
        <v>336</v>
      </c>
      <c r="C44" s="24" t="s">
        <v>48</v>
      </c>
      <c r="D44" s="24" t="n">
        <f aca="false">SUM(D37,D38,D39,D40)</f>
        <v>0</v>
      </c>
      <c r="E44" s="24" t="n">
        <f aca="false">SUM(E37,E38,E39,E40)</f>
        <v>0</v>
      </c>
      <c r="F44" s="24" t="n">
        <f aca="false">SUM(F37,F38,F39,F40)</f>
        <v>0</v>
      </c>
      <c r="G44" s="24" t="n">
        <f aca="false">SUM(G37,G38,G39,G40)</f>
        <v>0</v>
      </c>
      <c r="H44" s="24" t="n">
        <f aca="false">SUM(H37,H38,H39,H40)</f>
        <v>0</v>
      </c>
      <c r="I44" s="24" t="n">
        <f aca="false">SUM(I37,I38,I39,I40)</f>
        <v>0</v>
      </c>
      <c r="J44" s="24" t="n">
        <f aca="false">SUM(J37,J38,J39,J40)</f>
        <v>0</v>
      </c>
      <c r="K44" s="24" t="n">
        <f aca="false">SUM(K37,K38,K39,K40)</f>
        <v>0</v>
      </c>
      <c r="L44" s="24" t="n">
        <f aca="false">SUM(L37,L38,L39,L40)</f>
        <v>0</v>
      </c>
      <c r="M44" s="24" t="n">
        <f aca="false">SUM(M37,M38,M39,M40)</f>
        <v>0</v>
      </c>
      <c r="N44" s="24" t="n">
        <f aca="false">SUM(N37,N38,N39,N40)</f>
        <v>0</v>
      </c>
      <c r="O44" s="24" t="n">
        <f aca="false">SUM(O37,O38,O39,O40)</f>
        <v>0</v>
      </c>
      <c r="P44" s="20" t="n">
        <f aca="false">D41+E41+F41+G41+H41+I41+J41+K41+L41+M41+N41+O41</f>
        <v>0</v>
      </c>
    </row>
    <row r="45" customFormat="false" ht="15" hidden="false" customHeight="false" outlineLevel="0" collapsed="false">
      <c r="A45" s="26" t="s">
        <v>57</v>
      </c>
      <c r="B45" s="27" t="s">
        <v>337</v>
      </c>
      <c r="C45" s="27" t="s">
        <v>48</v>
      </c>
      <c r="P45" s="27" t="n">
        <f aca="false">(D6+E6+F6+G6+H6+I6+J6+K6+L6+M6+N6+O6)+(D7+E7+F7+G7+H7+I7+J7+K7+L7+M7+N7+O7)+(D8+E8+F8+G8+H8+I8+J8+K8+L8+M8+N8+O8)+(D9+E9+F9+G9+H9+I9+J9+K9+L9+M9+N9+O9)+(D10+E10+F10+G10+H10+I10+J10+K10+L10+M10+N10+O10)</f>
        <v>0</v>
      </c>
    </row>
    <row r="46" customFormat="false" ht="15" hidden="false" customHeight="false" outlineLevel="0" collapsed="false">
      <c r="A46" s="26" t="s">
        <v>57</v>
      </c>
      <c r="B46" s="27" t="s">
        <v>338</v>
      </c>
      <c r="C46" s="27" t="s">
        <v>48</v>
      </c>
      <c r="P46" s="27" t="n">
        <f aca="false">(D13+E13+F13+G13+H13+I13+J13+K13+L13+M13+N13+O13)+(D14+E14+F14+G14+H14+I14+J14+K14+L14+M14+N14+O14)+(D15+E15+F15+G15+H15+I15+J15+K15+L15+M15+N15+O15)+(D16+E16+F16+G16+H16+I16+J16+K16+L16+M16+N16+O16)+(D17+E17+F17+G17+H17+I17+J17+K17+L17+M17+N17+O17)+(D18+E18+F18+G18+H18+I18+J18+K18+L18+M18+N18+O18)+(D19+E19+F19+G19+H19+I19+J19+K19+L19+M19+N19+O19)+(D20+E20+F20+G20+H20+I20+J20+K20+L20+M20+N20+O20)+(D21+E21+F21+G21+H21+I21+J21+K21+L21+M21+N21+O21)+(D22+E22+F22+G22+H22+I22+J22+K22+L22+M22+N22+O22)</f>
        <v>0</v>
      </c>
    </row>
    <row r="47" customFormat="false" ht="15" hidden="false" customHeight="false" outlineLevel="0" collapsed="false">
      <c r="A47" s="26" t="s">
        <v>57</v>
      </c>
      <c r="B47" s="27" t="s">
        <v>339</v>
      </c>
      <c r="C47" s="27" t="s">
        <v>48</v>
      </c>
      <c r="P47" s="27" t="n">
        <f aca="false">(D25+E25+F25+G25+H25+I25+J25+K25+L25+M25+N25+O25)+(D26+E26+F26+G26+H26+I26+J26+K26+L26+M26+N26+O26)+(D27+E27+F27+G27+H27+I27+J27+K27+L27+M27+N27+O27)+(D28+E28+F28+G28+H28+I28+J28+K28+L28+M28+N28+O28)+(D29+E29+F29+G29+H29+I29+J29+K29+L29+M29+N29+O29)+(D30+E30+F30+G30+H30+I30+J30+K30+L30+M30+N30+O30)+(D31+E31+F31+G31+H31+I31+J31+K31+L31+M31+N31+O31)+(D33+E33+F33+G33+H33+I33+J33+K33+L33+M33+N33+O33)+(D34+E34+F34+G34+H34+I34+J34+K34+L34+M34+N34+O34)</f>
        <v>0</v>
      </c>
    </row>
    <row r="48" customFormat="false" ht="15" hidden="false" customHeight="false" outlineLevel="0" collapsed="false">
      <c r="A48" s="26" t="s">
        <v>57</v>
      </c>
      <c r="B48" s="27" t="s">
        <v>340</v>
      </c>
      <c r="C48" s="27" t="s">
        <v>48</v>
      </c>
      <c r="P48" s="27" t="n">
        <f aca="false">(D37+E37+F37+G37+H37+I37+J37+K37+L37+M37+N37+O37)+(D38+E38+F38+G38+H38+I38+J38+K38+L38+M38+N38+O38)+(D39+E39+F39+G39+H39+I39+J39+K39+L39+M39+N39+O39)+(D40+E40+F40+G40+H40+I40+J40+K40+L40+M40+N40+O40)</f>
        <v>0</v>
      </c>
    </row>
  </sheetData>
  <mergeCells count="6">
    <mergeCell ref="A1:O1"/>
    <mergeCell ref="A2:O2"/>
    <mergeCell ref="A5:O5"/>
    <mergeCell ref="A12:O12"/>
    <mergeCell ref="A24:O24"/>
    <mergeCell ref="A36:O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5"/>
    <col collapsed="false" customWidth="true" hidden="false" outlineLevel="0" max="3" min="3" style="1" width="10"/>
    <col collapsed="false" customWidth="true" hidden="false" outlineLevel="0" max="15" min="4" style="1" width="14"/>
    <col collapsed="false" customWidth="true" hidden="false" outlineLevel="0" max="16" min="16" style="1" width="16"/>
  </cols>
  <sheetData>
    <row r="1" customFormat="false" ht="30" hidden="false" customHeight="true" outlineLevel="0" collapsed="false">
      <c r="A1" s="8" t="s">
        <v>341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</row>
    <row r="2" customFormat="false" ht="19.5" hidden="false" customHeight="true" outlineLevel="0" collapsed="false">
      <c r="A2" s="9" t="s">
        <v>28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4" customFormat="false" ht="24.75" hidden="false" customHeight="true" outlineLevel="0" collapsed="false">
      <c r="A4" s="10" t="s">
        <v>29</v>
      </c>
      <c r="B4" s="10" t="s">
        <v>30</v>
      </c>
      <c r="C4" s="10" t="s">
        <v>31</v>
      </c>
      <c r="D4" s="10" t="s">
        <v>32</v>
      </c>
      <c r="E4" s="10" t="s">
        <v>33</v>
      </c>
      <c r="F4" s="10" t="s">
        <v>34</v>
      </c>
      <c r="G4" s="10" t="s">
        <v>35</v>
      </c>
      <c r="H4" s="10" t="s">
        <v>36</v>
      </c>
      <c r="I4" s="10" t="s">
        <v>37</v>
      </c>
      <c r="J4" s="10" t="s">
        <v>38</v>
      </c>
      <c r="K4" s="10" t="s">
        <v>39</v>
      </c>
      <c r="L4" s="10" t="s">
        <v>40</v>
      </c>
      <c r="M4" s="10" t="s">
        <v>41</v>
      </c>
      <c r="N4" s="10" t="s">
        <v>42</v>
      </c>
      <c r="O4" s="10" t="s">
        <v>43</v>
      </c>
      <c r="P4" s="11" t="s">
        <v>44</v>
      </c>
    </row>
    <row r="5" customFormat="false" ht="21.75" hidden="false" customHeight="true" outlineLevel="0" collapsed="false">
      <c r="A5" s="12" t="s">
        <v>342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</row>
    <row r="6" customFormat="false" ht="19.5" hidden="false" customHeight="true" outlineLevel="0" collapsed="false">
      <c r="A6" s="13" t="s">
        <v>343</v>
      </c>
      <c r="B6" s="14" t="s">
        <v>344</v>
      </c>
      <c r="C6" s="13" t="s">
        <v>226</v>
      </c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</row>
    <row r="7" customFormat="false" ht="19.5" hidden="false" customHeight="true" outlineLevel="0" collapsed="false">
      <c r="A7" s="13" t="s">
        <v>345</v>
      </c>
      <c r="B7" s="14" t="s">
        <v>346</v>
      </c>
      <c r="C7" s="13" t="s">
        <v>226</v>
      </c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</row>
    <row r="8" customFormat="false" ht="19.5" hidden="false" customHeight="true" outlineLevel="0" collapsed="false">
      <c r="A8" s="13" t="s">
        <v>347</v>
      </c>
      <c r="B8" s="14" t="s">
        <v>348</v>
      </c>
      <c r="C8" s="13" t="s">
        <v>226</v>
      </c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</row>
    <row r="9" customFormat="false" ht="19.5" hidden="false" customHeight="true" outlineLevel="0" collapsed="false">
      <c r="A9" s="13" t="s">
        <v>349</v>
      </c>
      <c r="B9" s="14" t="s">
        <v>350</v>
      </c>
      <c r="C9" s="13" t="s">
        <v>226</v>
      </c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19.5" hidden="false" customHeight="true" outlineLevel="0" collapsed="false">
      <c r="A10" s="13" t="s">
        <v>351</v>
      </c>
      <c r="B10" s="14" t="s">
        <v>352</v>
      </c>
      <c r="C10" s="13" t="s">
        <v>353</v>
      </c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</row>
    <row r="11" customFormat="false" ht="21.75" hidden="false" customHeight="true" outlineLevel="0" collapsed="false">
      <c r="A11" s="19" t="s">
        <v>57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20" t="n">
        <f aca="false">D11+E11+F11+G11+H11+I11+J11+K11+L11+M11+N11+O11</f>
        <v>0</v>
      </c>
    </row>
    <row r="12" customFormat="false" ht="19.5" hidden="false" customHeight="true" outlineLevel="0" collapsed="false">
      <c r="A12" s="12" t="s">
        <v>354</v>
      </c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2"/>
    </row>
    <row r="13" customFormat="false" ht="19.5" hidden="false" customHeight="true" outlineLevel="0" collapsed="false">
      <c r="A13" s="13" t="s">
        <v>355</v>
      </c>
      <c r="B13" s="14" t="s">
        <v>356</v>
      </c>
      <c r="C13" s="13" t="s">
        <v>226</v>
      </c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19.5" hidden="false" customHeight="true" outlineLevel="0" collapsed="false">
      <c r="A14" s="13" t="s">
        <v>357</v>
      </c>
      <c r="B14" s="14" t="s">
        <v>358</v>
      </c>
      <c r="C14" s="13" t="s">
        <v>226</v>
      </c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 customFormat="false" ht="19.5" hidden="false" customHeight="true" outlineLevel="0" collapsed="false">
      <c r="A15" s="13" t="s">
        <v>359</v>
      </c>
      <c r="B15" s="14" t="s">
        <v>360</v>
      </c>
      <c r="C15" s="13" t="s">
        <v>226</v>
      </c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 customFormat="false" ht="19.5" hidden="false" customHeight="true" outlineLevel="0" collapsed="false">
      <c r="A16" s="13" t="s">
        <v>361</v>
      </c>
      <c r="B16" s="14" t="s">
        <v>362</v>
      </c>
      <c r="C16" s="13" t="s">
        <v>226</v>
      </c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 customFormat="false" ht="19.5" hidden="false" customHeight="true" outlineLevel="0" collapsed="false">
      <c r="A17" s="13" t="s">
        <v>363</v>
      </c>
      <c r="B17" s="14" t="s">
        <v>364</v>
      </c>
      <c r="C17" s="13" t="s">
        <v>226</v>
      </c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customFormat="false" ht="21.75" hidden="false" customHeight="true" outlineLevel="0" collapsed="false">
      <c r="A18" s="16" t="s">
        <v>365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</row>
    <row r="19" customFormat="false" ht="19.5" hidden="false" customHeight="true" outlineLevel="0" collapsed="false">
      <c r="A19" s="23" t="s">
        <v>57</v>
      </c>
      <c r="B19" s="24" t="s">
        <v>366</v>
      </c>
      <c r="C19" s="24" t="s">
        <v>226</v>
      </c>
      <c r="D19" s="24" t="n">
        <f aca="false">SUM(D12,D13,D14,D15,D16)</f>
        <v>0</v>
      </c>
      <c r="E19" s="24" t="n">
        <f aca="false">SUM(E12,E13,E14,E15,E16)</f>
        <v>0</v>
      </c>
      <c r="F19" s="24" t="n">
        <f aca="false">SUM(F12,F13,F14,F15,F16)</f>
        <v>0</v>
      </c>
      <c r="G19" s="24" t="n">
        <f aca="false">SUM(G12,G13,G14,G15,G16)</f>
        <v>0</v>
      </c>
      <c r="H19" s="24" t="n">
        <f aca="false">SUM(H12,H13,H14,H15,H16)</f>
        <v>0</v>
      </c>
      <c r="I19" s="24" t="n">
        <f aca="false">SUM(I12,I13,I14,I15,I16)</f>
        <v>0</v>
      </c>
      <c r="J19" s="24" t="n">
        <f aca="false">SUM(J12,J13,J14,J15,J16)</f>
        <v>0</v>
      </c>
      <c r="K19" s="24" t="n">
        <f aca="false">SUM(K12,K13,K14,K15,K16)</f>
        <v>0</v>
      </c>
      <c r="L19" s="24" t="n">
        <f aca="false">SUM(L12,L13,L14,L15,L16)</f>
        <v>0</v>
      </c>
      <c r="M19" s="24" t="n">
        <f aca="false">SUM(M12,M13,M14,M15,M16)</f>
        <v>0</v>
      </c>
      <c r="N19" s="24" t="n">
        <f aca="false">SUM(N12,N13,N14,N15,N16)</f>
        <v>0</v>
      </c>
      <c r="O19" s="24" t="n">
        <f aca="false">SUM(O12,O13,O14,O15,O16)</f>
        <v>0</v>
      </c>
      <c r="P19" s="20" t="n">
        <f aca="false">D18+E18+F18+G18+H18+I18+J18+K18+L18+M18+N18+O18</f>
        <v>0</v>
      </c>
    </row>
    <row r="20" customFormat="false" ht="19.5" hidden="false" customHeight="true" outlineLevel="0" collapsed="false">
      <c r="A20" s="12" t="s">
        <v>367</v>
      </c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2"/>
    </row>
    <row r="21" customFormat="false" ht="19.5" hidden="false" customHeight="true" outlineLevel="0" collapsed="false">
      <c r="A21" s="13" t="s">
        <v>368</v>
      </c>
      <c r="B21" s="14" t="s">
        <v>369</v>
      </c>
      <c r="C21" s="13" t="s">
        <v>48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</row>
    <row r="22" customFormat="false" ht="19.5" hidden="false" customHeight="true" outlineLevel="0" collapsed="false">
      <c r="A22" s="13" t="s">
        <v>370</v>
      </c>
      <c r="B22" s="14" t="s">
        <v>371</v>
      </c>
      <c r="C22" s="13" t="s">
        <v>48</v>
      </c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</row>
    <row r="23" customFormat="false" ht="19.5" hidden="false" customHeight="true" outlineLevel="0" collapsed="false">
      <c r="A23" s="13" t="s">
        <v>372</v>
      </c>
      <c r="B23" s="14" t="s">
        <v>373</v>
      </c>
      <c r="C23" s="13" t="s">
        <v>48</v>
      </c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</row>
    <row r="24" customFormat="false" ht="19.5" hidden="false" customHeight="true" outlineLevel="0" collapsed="false">
      <c r="A24" s="13" t="s">
        <v>374</v>
      </c>
      <c r="B24" s="14" t="s">
        <v>375</v>
      </c>
      <c r="C24" s="13" t="s">
        <v>48</v>
      </c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</row>
    <row r="25" customFormat="false" ht="21.75" hidden="false" customHeight="true" outlineLevel="0" collapsed="false">
      <c r="A25" s="13" t="s">
        <v>376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</row>
    <row r="26" customFormat="false" ht="19.5" hidden="false" customHeight="true" outlineLevel="0" collapsed="false">
      <c r="A26" s="16" t="s">
        <v>377</v>
      </c>
      <c r="B26" s="17" t="s">
        <v>378</v>
      </c>
      <c r="C26" s="13" t="s">
        <v>48</v>
      </c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</row>
    <row r="27" customFormat="false" ht="19.5" hidden="false" customHeight="true" outlineLevel="0" collapsed="false">
      <c r="A27" s="23" t="s">
        <v>57</v>
      </c>
      <c r="B27" s="24" t="s">
        <v>379</v>
      </c>
      <c r="C27" s="24" t="s">
        <v>48</v>
      </c>
      <c r="D27" s="24" t="n">
        <f aca="false">SUM(D19,D20,D21,D22,D23)</f>
        <v>0</v>
      </c>
      <c r="E27" s="24" t="n">
        <f aca="false">SUM(E19,E20,E21,E22,E23)</f>
        <v>0</v>
      </c>
      <c r="F27" s="24" t="n">
        <f aca="false">SUM(F19,F20,F21,F22,F23)</f>
        <v>0</v>
      </c>
      <c r="G27" s="24" t="n">
        <f aca="false">SUM(G19,G20,G21,G22,G23)</f>
        <v>0</v>
      </c>
      <c r="H27" s="24" t="n">
        <f aca="false">SUM(H19,H20,H21,H22,H23)</f>
        <v>0</v>
      </c>
      <c r="I27" s="24" t="n">
        <f aca="false">SUM(I19,I20,I21,I22,I23)</f>
        <v>0</v>
      </c>
      <c r="J27" s="24" t="n">
        <f aca="false">SUM(J19,J20,J21,J22,J23)</f>
        <v>0</v>
      </c>
      <c r="K27" s="24" t="n">
        <f aca="false">SUM(K19,K20,K21,K22,K23)</f>
        <v>0</v>
      </c>
      <c r="L27" s="24" t="n">
        <f aca="false">SUM(L19,L20,L21,L22,L23)</f>
        <v>0</v>
      </c>
      <c r="M27" s="24" t="n">
        <f aca="false">SUM(M19,M20,M21,M22,M23)</f>
        <v>0</v>
      </c>
      <c r="N27" s="24" t="n">
        <f aca="false">SUM(N19,N20,N21,N22,N23)</f>
        <v>0</v>
      </c>
      <c r="O27" s="24" t="n">
        <f aca="false">SUM(O19,O20,O21,O22,O23)</f>
        <v>0</v>
      </c>
      <c r="P27" s="20" t="n">
        <f aca="false">D25+E25+F25+G25+H25+I25+J25+K25+L25+M25+N25+O25</f>
        <v>0</v>
      </c>
    </row>
    <row r="28" customFormat="false" ht="15" hidden="false" customHeight="true" outlineLevel="0" collapsed="false">
      <c r="A28" s="12" t="s">
        <v>380</v>
      </c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2"/>
    </row>
    <row r="29" customFormat="false" ht="15" hidden="false" customHeight="true" outlineLevel="0" collapsed="false">
      <c r="A29" s="13" t="s">
        <v>381</v>
      </c>
      <c r="B29" s="14" t="s">
        <v>382</v>
      </c>
      <c r="C29" s="13" t="s">
        <v>48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</row>
    <row r="30" customFormat="false" ht="15" hidden="false" customHeight="true" outlineLevel="0" collapsed="false">
      <c r="A30" s="13" t="s">
        <v>383</v>
      </c>
      <c r="B30" s="14" t="s">
        <v>384</v>
      </c>
      <c r="C30" s="13" t="s">
        <v>48</v>
      </c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</row>
    <row r="31" customFormat="false" ht="15" hidden="false" customHeight="true" outlineLevel="0" collapsed="false">
      <c r="A31" s="23" t="s">
        <v>57</v>
      </c>
      <c r="B31" s="24" t="s">
        <v>385</v>
      </c>
      <c r="C31" s="24" t="s">
        <v>48</v>
      </c>
      <c r="D31" s="24" t="n">
        <f aca="false">SUM(D26,D27)</f>
        <v>0</v>
      </c>
      <c r="E31" s="24" t="n">
        <f aca="false">SUM(E26,E27)</f>
        <v>0</v>
      </c>
      <c r="F31" s="24" t="n">
        <f aca="false">SUM(F26,F27)</f>
        <v>0</v>
      </c>
      <c r="G31" s="24" t="n">
        <f aca="false">SUM(G26,G27)</f>
        <v>0</v>
      </c>
      <c r="H31" s="24" t="n">
        <f aca="false">SUM(H26,H27)</f>
        <v>0</v>
      </c>
      <c r="I31" s="24" t="n">
        <f aca="false">SUM(I26,I27)</f>
        <v>0</v>
      </c>
      <c r="J31" s="24" t="n">
        <f aca="false">SUM(J26,J27)</f>
        <v>0</v>
      </c>
      <c r="K31" s="24" t="n">
        <f aca="false">SUM(K26,K27)</f>
        <v>0</v>
      </c>
      <c r="L31" s="24" t="n">
        <f aca="false">SUM(L26,L27)</f>
        <v>0</v>
      </c>
      <c r="M31" s="24" t="n">
        <f aca="false">SUM(M26,M27)</f>
        <v>0</v>
      </c>
      <c r="N31" s="24" t="n">
        <f aca="false">SUM(N26,N27)</f>
        <v>0</v>
      </c>
      <c r="O31" s="24" t="n">
        <f aca="false">SUM(O26,O27)</f>
        <v>0</v>
      </c>
      <c r="P31" s="20" t="n">
        <f aca="false">D28+E28+F28+G28+H28+I28+J28+K28+L28+M28+N28+O28</f>
        <v>0</v>
      </c>
    </row>
    <row r="32" customFormat="false" ht="15" hidden="false" customHeight="true" outlineLevel="0" collapsed="false">
      <c r="A32" s="26" t="s">
        <v>57</v>
      </c>
      <c r="B32" s="27" t="s">
        <v>386</v>
      </c>
      <c r="C32" s="27" t="s">
        <v>226</v>
      </c>
      <c r="P32" s="27" t="n">
        <f aca="false">(D6+E6+F6+G6+H6+I6+J6+K6+L6+M6+N6+O6)</f>
        <v>0</v>
      </c>
    </row>
    <row r="33" customFormat="false" ht="15" hidden="false" customHeight="true" outlineLevel="0" collapsed="false">
      <c r="A33" s="26" t="s">
        <v>57</v>
      </c>
      <c r="B33" s="27" t="s">
        <v>387</v>
      </c>
      <c r="C33" s="27" t="s">
        <v>226</v>
      </c>
      <c r="P33" s="27" t="n">
        <f aca="false">(D8+E8+F8+G8+H8+I8+J8+K8+L8+M8+N8+O8)</f>
        <v>0</v>
      </c>
    </row>
    <row r="34" customFormat="false" ht="15" hidden="false" customHeight="true" outlineLevel="0" collapsed="false">
      <c r="A34" s="26" t="s">
        <v>57</v>
      </c>
      <c r="B34" s="27" t="s">
        <v>388</v>
      </c>
      <c r="C34" s="27" t="s">
        <v>226</v>
      </c>
      <c r="P34" s="27" t="n">
        <f aca="false">(D9+E9+F9+G9+H9+I9+J9+K9+L9+M9+N9+O9)</f>
        <v>0</v>
      </c>
    </row>
    <row r="35" customFormat="false" ht="15" hidden="false" customHeight="false" outlineLevel="0" collapsed="false">
      <c r="A35" s="26" t="s">
        <v>57</v>
      </c>
      <c r="B35" s="27" t="s">
        <v>389</v>
      </c>
      <c r="C35" s="27" t="s">
        <v>226</v>
      </c>
      <c r="P35" s="27" t="n">
        <f aca="false">(D12+E12+F12+G12+H12+I12+J12+K12+L12+M12+N12+O12)+(D13+E13+F13+G13+H13+I13+J13+K13+L13+M13+N13+O13)+(D14+E14+F14+G14+H14+I14+J14+K14+L14+M14+N14+O14)+(D15+E15+F15+G15+H15+I15+J15+K15+L15+M15+N15+O15)+(D16+E16+F16+G16+H16+I16+J16+K16+L16+M16+N16+O16)</f>
        <v>0</v>
      </c>
    </row>
    <row r="36" customFormat="false" ht="15" hidden="false" customHeight="false" outlineLevel="0" collapsed="false">
      <c r="A36" s="26" t="s">
        <v>57</v>
      </c>
      <c r="B36" s="27" t="s">
        <v>390</v>
      </c>
      <c r="C36" s="27" t="s">
        <v>48</v>
      </c>
      <c r="P36" s="27" t="n">
        <f aca="false">(D19+E19+F19+G19+H19+I19+J19+K19+L19+M19+N19+O19)+(D20+E20+F20+G20+H20+I20+J20+K20+L20+M20+N20+O20)+(D21+E21+F21+G21+H21+I21+J21+K21+L21+M21+N21+O21)+(D22+E22+F22+G22+H22+I22+J22+K22+L22+M22+N22+O22)+(D23+E23+F23+G23+H23+I23+J23+K23+L23+M23+N23+O23)</f>
        <v>0</v>
      </c>
    </row>
    <row r="37" customFormat="false" ht="15" hidden="false" customHeight="false" outlineLevel="0" collapsed="false">
      <c r="A37" s="26" t="s">
        <v>57</v>
      </c>
      <c r="B37" s="27" t="s">
        <v>391</v>
      </c>
      <c r="C37" s="27" t="s">
        <v>48</v>
      </c>
      <c r="P37" s="27" t="n">
        <f aca="false">(D26+E26+F26+G26+H26+I26+J26+K26+L26+M26+N26+O26)</f>
        <v>0</v>
      </c>
    </row>
    <row r="38" customFormat="false" ht="15" hidden="false" customHeight="false" outlineLevel="0" collapsed="false">
      <c r="A38" s="26" t="s">
        <v>57</v>
      </c>
      <c r="B38" s="27" t="s">
        <v>392</v>
      </c>
      <c r="C38" s="27" t="s">
        <v>48</v>
      </c>
      <c r="P38" s="27" t="n">
        <f aca="false">(D27+E27+F27+G27+H27+I27+J27+K27+L27+M27+N27+O27)</f>
        <v>0</v>
      </c>
    </row>
  </sheetData>
  <mergeCells count="6">
    <mergeCell ref="A1:O1"/>
    <mergeCell ref="A2:O2"/>
    <mergeCell ref="A5:O5"/>
    <mergeCell ref="A11:O11"/>
    <mergeCell ref="A18:O18"/>
    <mergeCell ref="A25:O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5"/>
    <col collapsed="false" customWidth="true" hidden="false" outlineLevel="0" max="3" min="3" style="1" width="10"/>
    <col collapsed="false" customWidth="true" hidden="false" outlineLevel="0" max="15" min="4" style="1" width="14"/>
    <col collapsed="false" customWidth="true" hidden="false" outlineLevel="0" max="16" min="16" style="1" width="16"/>
  </cols>
  <sheetData>
    <row r="1" customFormat="false" ht="30" hidden="false" customHeight="true" outlineLevel="0" collapsed="false">
      <c r="A1" s="8" t="s">
        <v>393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</row>
    <row r="2" customFormat="false" ht="19.5" hidden="false" customHeight="true" outlineLevel="0" collapsed="false">
      <c r="A2" s="9" t="s">
        <v>28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4" customFormat="false" ht="24.75" hidden="false" customHeight="true" outlineLevel="0" collapsed="false">
      <c r="A4" s="10" t="s">
        <v>29</v>
      </c>
      <c r="B4" s="10" t="s">
        <v>30</v>
      </c>
      <c r="C4" s="10" t="s">
        <v>31</v>
      </c>
      <c r="D4" s="10" t="s">
        <v>32</v>
      </c>
      <c r="E4" s="10" t="s">
        <v>33</v>
      </c>
      <c r="F4" s="10" t="s">
        <v>34</v>
      </c>
      <c r="G4" s="10" t="s">
        <v>35</v>
      </c>
      <c r="H4" s="10" t="s">
        <v>36</v>
      </c>
      <c r="I4" s="10" t="s">
        <v>37</v>
      </c>
      <c r="J4" s="10" t="s">
        <v>38</v>
      </c>
      <c r="K4" s="10" t="s">
        <v>39</v>
      </c>
      <c r="L4" s="10" t="s">
        <v>40</v>
      </c>
      <c r="M4" s="10" t="s">
        <v>41</v>
      </c>
      <c r="N4" s="10" t="s">
        <v>42</v>
      </c>
      <c r="O4" s="10" t="s">
        <v>43</v>
      </c>
      <c r="P4" s="11" t="s">
        <v>44</v>
      </c>
    </row>
    <row r="5" customFormat="false" ht="21.75" hidden="false" customHeight="true" outlineLevel="0" collapsed="false">
      <c r="A5" s="12" t="s">
        <v>394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</row>
    <row r="6" customFormat="false" ht="19.5" hidden="false" customHeight="true" outlineLevel="0" collapsed="false">
      <c r="A6" s="13" t="s">
        <v>395</v>
      </c>
      <c r="B6" s="14" t="s">
        <v>396</v>
      </c>
      <c r="C6" s="13" t="s">
        <v>226</v>
      </c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</row>
    <row r="7" customFormat="false" ht="19.5" hidden="false" customHeight="true" outlineLevel="0" collapsed="false">
      <c r="A7" s="13" t="s">
        <v>397</v>
      </c>
      <c r="B7" s="14" t="s">
        <v>398</v>
      </c>
      <c r="C7" s="13" t="s">
        <v>226</v>
      </c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</row>
    <row r="8" customFormat="false" ht="19.5" hidden="false" customHeight="true" outlineLevel="0" collapsed="false">
      <c r="A8" s="13" t="s">
        <v>399</v>
      </c>
      <c r="B8" s="14" t="s">
        <v>400</v>
      </c>
      <c r="C8" s="13" t="s">
        <v>226</v>
      </c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</row>
    <row r="9" customFormat="false" ht="19.5" hidden="false" customHeight="true" outlineLevel="0" collapsed="false">
      <c r="A9" s="16" t="s">
        <v>401</v>
      </c>
      <c r="B9" s="17" t="s">
        <v>402</v>
      </c>
      <c r="C9" s="13" t="s">
        <v>226</v>
      </c>
      <c r="D9" s="29" t="n">
        <f aca="false">SUM(D6,D7,D8)</f>
        <v>0</v>
      </c>
      <c r="E9" s="29" t="n">
        <f aca="false">SUM(E6,E7,E8)</f>
        <v>0</v>
      </c>
      <c r="F9" s="29" t="n">
        <f aca="false">SUM(F6,F7,F8)</f>
        <v>0</v>
      </c>
      <c r="G9" s="29" t="n">
        <f aca="false">SUM(G6,G7,G8)</f>
        <v>0</v>
      </c>
      <c r="H9" s="29" t="n">
        <f aca="false">SUM(H6,H7,H8)</f>
        <v>0</v>
      </c>
      <c r="I9" s="29" t="n">
        <f aca="false">SUM(I6,I7,I8)</f>
        <v>0</v>
      </c>
      <c r="J9" s="29" t="n">
        <f aca="false">SUM(J6,J7,J8)</f>
        <v>0</v>
      </c>
      <c r="K9" s="29" t="n">
        <f aca="false">SUM(K6,K7,K8)</f>
        <v>0</v>
      </c>
      <c r="L9" s="29" t="n">
        <f aca="false">SUM(L6,L7,L8)</f>
        <v>0</v>
      </c>
      <c r="M9" s="29" t="n">
        <f aca="false">SUM(M6,M7,M8)</f>
        <v>0</v>
      </c>
      <c r="N9" s="29" t="n">
        <f aca="false">SUM(N6,N7,N8)</f>
        <v>0</v>
      </c>
      <c r="O9" s="29" t="n">
        <f aca="false">SUM(O6,O7,O8)</f>
        <v>0</v>
      </c>
    </row>
    <row r="10" customFormat="false" ht="21.75" hidden="false" customHeight="true" outlineLevel="0" collapsed="false">
      <c r="A10" s="23" t="s">
        <v>57</v>
      </c>
      <c r="B10" s="24" t="s">
        <v>403</v>
      </c>
      <c r="C10" s="24" t="s">
        <v>226</v>
      </c>
      <c r="D10" s="24" t="n">
        <f aca="false">SUM(D6,D7,D8)</f>
        <v>0</v>
      </c>
      <c r="E10" s="24" t="n">
        <f aca="false">SUM(E6,E7,E8)</f>
        <v>0</v>
      </c>
      <c r="F10" s="24" t="n">
        <f aca="false">SUM(F6,F7,F8)</f>
        <v>0</v>
      </c>
      <c r="G10" s="24" t="n">
        <f aca="false">SUM(G6,G7,G8)</f>
        <v>0</v>
      </c>
      <c r="H10" s="24" t="n">
        <f aca="false">SUM(H6,H7,H8)</f>
        <v>0</v>
      </c>
      <c r="I10" s="24" t="n">
        <f aca="false">SUM(I6,I7,I8)</f>
        <v>0</v>
      </c>
      <c r="J10" s="24" t="n">
        <f aca="false">SUM(J6,J7,J8)</f>
        <v>0</v>
      </c>
      <c r="K10" s="24" t="n">
        <f aca="false">SUM(K6,K7,K8)</f>
        <v>0</v>
      </c>
      <c r="L10" s="24" t="n">
        <f aca="false">SUM(L6,L7,L8)</f>
        <v>0</v>
      </c>
      <c r="M10" s="24" t="n">
        <f aca="false">SUM(M6,M7,M8)</f>
        <v>0</v>
      </c>
      <c r="N10" s="24" t="n">
        <f aca="false">SUM(N6,N7,N8)</f>
        <v>0</v>
      </c>
      <c r="O10" s="24" t="n">
        <f aca="false">SUM(O6,O7,O8)</f>
        <v>0</v>
      </c>
      <c r="P10" s="20" t="n">
        <f aca="false">D10+E10+F10+G10+H10+I10+J10+K10+L10+M10+N10+O10</f>
        <v>0</v>
      </c>
    </row>
    <row r="11" customFormat="false" ht="19.5" hidden="false" customHeight="true" outlineLevel="0" collapsed="false">
      <c r="A11" s="30" t="s">
        <v>57</v>
      </c>
      <c r="B11" s="30" t="s">
        <v>404</v>
      </c>
      <c r="C11" s="30" t="s">
        <v>226</v>
      </c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27" t="n">
        <f aca="false">(D6+E6+F6+G6+H6+I6+J6+K6+L6+M6+N6+O6)+(D7+E7+F7+G7+H7+I7+J7+K7+L7+M7+N7+O7)+(D8+E8+F8+G8+H8+I8+J8+K8+L8+M8+N8+O8)</f>
        <v>0</v>
      </c>
    </row>
    <row r="12" customFormat="false" ht="19.5" hidden="false" customHeight="true" outlineLevel="0" collapsed="false">
      <c r="A12" s="31" t="s">
        <v>405</v>
      </c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2"/>
    </row>
    <row r="13" customFormat="false" ht="19.5" hidden="false" customHeight="true" outlineLevel="0" collapsed="false">
      <c r="A13" s="13" t="s">
        <v>406</v>
      </c>
      <c r="B13" s="14" t="s">
        <v>407</v>
      </c>
      <c r="C13" s="13" t="s">
        <v>226</v>
      </c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19.5" hidden="false" customHeight="true" outlineLevel="0" collapsed="false">
      <c r="A14" s="13" t="s">
        <v>408</v>
      </c>
      <c r="B14" s="14" t="s">
        <v>409</v>
      </c>
      <c r="C14" s="13" t="s">
        <v>226</v>
      </c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 customFormat="false" ht="21.75" hidden="false" customHeight="true" outlineLevel="0" collapsed="false">
      <c r="A15" s="13" t="s">
        <v>410</v>
      </c>
      <c r="B15" s="14" t="s">
        <v>400</v>
      </c>
      <c r="C15" s="13" t="s">
        <v>226</v>
      </c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 customFormat="false" ht="19.5" hidden="false" customHeight="true" outlineLevel="0" collapsed="false">
      <c r="A16" s="32" t="s">
        <v>411</v>
      </c>
      <c r="B16" s="33" t="s">
        <v>412</v>
      </c>
      <c r="C16" s="33" t="s">
        <v>226</v>
      </c>
      <c r="D16" s="33" t="n">
        <f aca="false">SUM(D12,D13,D14)</f>
        <v>0</v>
      </c>
      <c r="E16" s="33" t="n">
        <f aca="false">SUM(E12,E13,E14)</f>
        <v>0</v>
      </c>
      <c r="F16" s="33" t="n">
        <f aca="false">SUM(F12,F13,F14)</f>
        <v>0</v>
      </c>
      <c r="G16" s="33" t="n">
        <f aca="false">SUM(G12,G13,G14)</f>
        <v>0</v>
      </c>
      <c r="H16" s="33" t="n">
        <f aca="false">SUM(H12,H13,H14)</f>
        <v>0</v>
      </c>
      <c r="I16" s="33" t="n">
        <f aca="false">SUM(I12,I13,I14)</f>
        <v>0</v>
      </c>
      <c r="J16" s="33" t="n">
        <f aca="false">SUM(J12,J13,J14)</f>
        <v>0</v>
      </c>
      <c r="K16" s="33" t="n">
        <f aca="false">SUM(K12,K13,K14)</f>
        <v>0</v>
      </c>
      <c r="L16" s="33" t="n">
        <f aca="false">SUM(L12,L13,L14)</f>
        <v>0</v>
      </c>
      <c r="M16" s="33" t="n">
        <f aca="false">SUM(M12,M13,M14)</f>
        <v>0</v>
      </c>
      <c r="N16" s="33" t="n">
        <f aca="false">SUM(N12,N13,N14)</f>
        <v>0</v>
      </c>
      <c r="O16" s="33" t="n">
        <f aca="false">SUM(O12,O13,O14)</f>
        <v>0</v>
      </c>
    </row>
    <row r="17" customFormat="false" ht="19.5" hidden="false" customHeight="true" outlineLevel="0" collapsed="false">
      <c r="A17" s="19" t="s">
        <v>57</v>
      </c>
      <c r="B17" s="19" t="s">
        <v>413</v>
      </c>
      <c r="C17" s="19" t="s">
        <v>226</v>
      </c>
      <c r="D17" s="19" t="n">
        <f aca="false">SUM(D12,D13,D14)</f>
        <v>0</v>
      </c>
      <c r="E17" s="19" t="n">
        <f aca="false">SUM(E12,E13,E14)</f>
        <v>0</v>
      </c>
      <c r="F17" s="19" t="n">
        <f aca="false">SUM(F12,F13,F14)</f>
        <v>0</v>
      </c>
      <c r="G17" s="19" t="n">
        <f aca="false">SUM(G12,G13,G14)</f>
        <v>0</v>
      </c>
      <c r="H17" s="19" t="n">
        <f aca="false">SUM(H12,H13,H14)</f>
        <v>0</v>
      </c>
      <c r="I17" s="19" t="n">
        <f aca="false">SUM(I12,I13,I14)</f>
        <v>0</v>
      </c>
      <c r="J17" s="19" t="n">
        <f aca="false">SUM(J12,J13,J14)</f>
        <v>0</v>
      </c>
      <c r="K17" s="19" t="n">
        <f aca="false">SUM(K12,K13,K14)</f>
        <v>0</v>
      </c>
      <c r="L17" s="19" t="n">
        <f aca="false">SUM(L12,L13,L14)</f>
        <v>0</v>
      </c>
      <c r="M17" s="19" t="n">
        <f aca="false">SUM(M12,M13,M14)</f>
        <v>0</v>
      </c>
      <c r="N17" s="19" t="n">
        <f aca="false">SUM(N12,N13,N14)</f>
        <v>0</v>
      </c>
      <c r="O17" s="19" t="n">
        <f aca="false">SUM(O12,O13,O14)</f>
        <v>0</v>
      </c>
      <c r="P17" s="20" t="n">
        <f aca="false">D16+E16+F16+G16+H16+I16+J16+K16+L16+M16+N16+O16</f>
        <v>0</v>
      </c>
    </row>
    <row r="18" customFormat="false" ht="19.5" hidden="false" customHeight="true" outlineLevel="0" collapsed="false">
      <c r="A18" s="26" t="s">
        <v>57</v>
      </c>
      <c r="B18" s="27" t="s">
        <v>414</v>
      </c>
      <c r="C18" s="27" t="s">
        <v>226</v>
      </c>
      <c r="P18" s="27" t="n">
        <f aca="false">(D11+E11+F11+G11+H11+I11+J11+K11+L11+M11+N11+O11)+(D12+E12+F12+G12+H12+I12+J12+K12+L12+M12+N12+O12)+(D13+E13+F13+G13+H13+I13+J13+K13+L13+M13+N13+O13)</f>
        <v>0</v>
      </c>
    </row>
    <row r="19" customFormat="false" ht="19.5" hidden="false" customHeight="true" outlineLevel="0" collapsed="false">
      <c r="A19" s="31" t="s">
        <v>415</v>
      </c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2"/>
    </row>
    <row r="20" customFormat="false" ht="21.75" hidden="false" customHeight="true" outlineLevel="0" collapsed="false">
      <c r="A20" s="13" t="s">
        <v>416</v>
      </c>
      <c r="B20" s="14" t="s">
        <v>417</v>
      </c>
      <c r="C20" s="13" t="s">
        <v>48</v>
      </c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</row>
    <row r="21" customFormat="false" ht="19.5" hidden="false" customHeight="true" outlineLevel="0" collapsed="false">
      <c r="A21" s="13" t="s">
        <v>418</v>
      </c>
      <c r="B21" s="14" t="s">
        <v>419</v>
      </c>
      <c r="C21" s="13" t="s">
        <v>48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</row>
    <row r="22" customFormat="false" ht="19.5" hidden="false" customHeight="true" outlineLevel="0" collapsed="false">
      <c r="A22" s="13" t="s">
        <v>420</v>
      </c>
      <c r="B22" s="1" t="s">
        <v>421</v>
      </c>
      <c r="C22" s="1" t="s">
        <v>48</v>
      </c>
    </row>
    <row r="23" customFormat="false" ht="19.5" hidden="false" customHeight="true" outlineLevel="0" collapsed="false">
      <c r="A23" s="16" t="s">
        <v>422</v>
      </c>
      <c r="B23" s="16" t="s">
        <v>423</v>
      </c>
      <c r="C23" s="16" t="s">
        <v>48</v>
      </c>
      <c r="D23" s="16" t="n">
        <f aca="false">SUM(D16,D17,D18)</f>
        <v>0</v>
      </c>
      <c r="E23" s="16" t="n">
        <f aca="false">SUM(E16,E17,E18)</f>
        <v>0</v>
      </c>
      <c r="F23" s="16" t="n">
        <f aca="false">SUM(F16,F17,F18)</f>
        <v>0</v>
      </c>
      <c r="G23" s="16" t="n">
        <f aca="false">SUM(G16,G17,G18)</f>
        <v>0</v>
      </c>
      <c r="H23" s="16" t="n">
        <f aca="false">SUM(H16,H17,H18)</f>
        <v>0</v>
      </c>
      <c r="I23" s="16" t="n">
        <f aca="false">SUM(I16,I17,I18)</f>
        <v>0</v>
      </c>
      <c r="J23" s="16" t="n">
        <f aca="false">SUM(J16,J17,J18)</f>
        <v>0</v>
      </c>
      <c r="K23" s="16" t="n">
        <f aca="false">SUM(K16,K17,K18)</f>
        <v>0</v>
      </c>
      <c r="L23" s="16" t="n">
        <f aca="false">SUM(L16,L17,L18)</f>
        <v>0</v>
      </c>
      <c r="M23" s="16" t="n">
        <f aca="false">SUM(M16,M17,M18)</f>
        <v>0</v>
      </c>
      <c r="N23" s="16" t="n">
        <f aca="false">SUM(N16,N17,N18)</f>
        <v>0</v>
      </c>
      <c r="O23" s="16" t="n">
        <f aca="false">SUM(O16,O17,O18)</f>
        <v>0</v>
      </c>
    </row>
    <row r="24" customFormat="false" ht="19.5" hidden="false" customHeight="true" outlineLevel="0" collapsed="false">
      <c r="A24" s="23" t="s">
        <v>57</v>
      </c>
      <c r="B24" s="24" t="s">
        <v>424</v>
      </c>
      <c r="C24" s="24" t="s">
        <v>48</v>
      </c>
      <c r="D24" s="24" t="n">
        <f aca="false">SUM(D18,D19,D20)</f>
        <v>0</v>
      </c>
      <c r="E24" s="24" t="n">
        <f aca="false">SUM(E18,E19,E20)</f>
        <v>0</v>
      </c>
      <c r="F24" s="24" t="n">
        <f aca="false">SUM(F18,F19,F20)</f>
        <v>0</v>
      </c>
      <c r="G24" s="24" t="n">
        <f aca="false">SUM(G18,G19,G20)</f>
        <v>0</v>
      </c>
      <c r="H24" s="24" t="n">
        <f aca="false">SUM(H18,H19,H20)</f>
        <v>0</v>
      </c>
      <c r="I24" s="24" t="n">
        <f aca="false">SUM(I18,I19,I20)</f>
        <v>0</v>
      </c>
      <c r="J24" s="24" t="n">
        <f aca="false">SUM(J18,J19,J20)</f>
        <v>0</v>
      </c>
      <c r="K24" s="24" t="n">
        <f aca="false">SUM(K18,K19,K20)</f>
        <v>0</v>
      </c>
      <c r="L24" s="24" t="n">
        <f aca="false">SUM(L18,L19,L20)</f>
        <v>0</v>
      </c>
      <c r="M24" s="24" t="n">
        <f aca="false">SUM(M18,M19,M20)</f>
        <v>0</v>
      </c>
      <c r="N24" s="24" t="n">
        <f aca="false">SUM(N18,N19,N20)</f>
        <v>0</v>
      </c>
      <c r="O24" s="24" t="n">
        <f aca="false">SUM(O18,O19,O20)</f>
        <v>0</v>
      </c>
      <c r="P24" s="20" t="n">
        <f aca="false">D22+E22+F22+G22+H22+I22+J22+K22+L22+M22+N22+O22</f>
        <v>0</v>
      </c>
    </row>
    <row r="25" customFormat="false" ht="21.75" hidden="false" customHeight="true" outlineLevel="0" collapsed="false">
      <c r="A25" s="26" t="s">
        <v>57</v>
      </c>
      <c r="B25" s="27" t="s">
        <v>425</v>
      </c>
      <c r="C25" s="27" t="s">
        <v>48</v>
      </c>
      <c r="P25" s="27" t="n">
        <f aca="false">(D16+E16+F16+G16+H16+I16+J16+K16+L16+M16+N16+O16)+(D17+E17+F17+G17+H17+I17+J17+K17+L17+M17+N17+O17)+(D18+E18+F18+G18+H18+I18+J18+K18+L18+M18+N18+O18)</f>
        <v>0</v>
      </c>
    </row>
    <row r="26" customFormat="false" ht="19.5" hidden="false" customHeight="true" outlineLevel="0" collapsed="false">
      <c r="A26" s="31" t="s">
        <v>426</v>
      </c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2"/>
    </row>
    <row r="27" customFormat="false" ht="19.5" hidden="false" customHeight="true" outlineLevel="0" collapsed="false">
      <c r="A27" s="13" t="s">
        <v>427</v>
      </c>
      <c r="B27" s="14" t="s">
        <v>428</v>
      </c>
      <c r="C27" s="13" t="s">
        <v>48</v>
      </c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customFormat="false" ht="19.5" hidden="false" customHeight="true" outlineLevel="0" collapsed="false">
      <c r="A28" s="13" t="s">
        <v>429</v>
      </c>
      <c r="B28" s="1" t="s">
        <v>430</v>
      </c>
      <c r="C28" s="1" t="s">
        <v>48</v>
      </c>
    </row>
    <row r="29" customFormat="false" ht="19.5" hidden="false" customHeight="true" outlineLevel="0" collapsed="false">
      <c r="A29" s="13" t="s">
        <v>431</v>
      </c>
      <c r="B29" s="14" t="s">
        <v>421</v>
      </c>
      <c r="C29" s="13" t="s">
        <v>48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</row>
    <row r="30" customFormat="false" ht="19.5" hidden="false" customHeight="true" outlineLevel="0" collapsed="false">
      <c r="A30" s="16" t="s">
        <v>432</v>
      </c>
      <c r="B30" s="17" t="s">
        <v>433</v>
      </c>
      <c r="C30" s="13" t="s">
        <v>48</v>
      </c>
      <c r="D30" s="29" t="n">
        <f aca="false">SUM(D21,D22,D23)</f>
        <v>0</v>
      </c>
      <c r="E30" s="29" t="n">
        <f aca="false">SUM(E21,E22,E23)</f>
        <v>0</v>
      </c>
      <c r="F30" s="29" t="n">
        <f aca="false">SUM(F21,F22,F23)</f>
        <v>0</v>
      </c>
      <c r="G30" s="29" t="n">
        <f aca="false">SUM(G21,G22,G23)</f>
        <v>0</v>
      </c>
      <c r="H30" s="29" t="n">
        <f aca="false">SUM(H21,H22,H23)</f>
        <v>0</v>
      </c>
      <c r="I30" s="29" t="n">
        <f aca="false">SUM(I21,I22,I23)</f>
        <v>0</v>
      </c>
      <c r="J30" s="29" t="n">
        <f aca="false">SUM(J21,J22,J23)</f>
        <v>0</v>
      </c>
      <c r="K30" s="29" t="n">
        <f aca="false">SUM(K21,K22,K23)</f>
        <v>0</v>
      </c>
      <c r="L30" s="29" t="n">
        <f aca="false">SUM(L21,L22,L23)</f>
        <v>0</v>
      </c>
      <c r="M30" s="29" t="n">
        <f aca="false">SUM(M21,M22,M23)</f>
        <v>0</v>
      </c>
      <c r="N30" s="29" t="n">
        <f aca="false">SUM(N21,N22,N23)</f>
        <v>0</v>
      </c>
      <c r="O30" s="29" t="n">
        <f aca="false">SUM(O21,O22,O23)</f>
        <v>0</v>
      </c>
    </row>
    <row r="31" customFormat="false" ht="15" hidden="false" customHeight="true" outlineLevel="0" collapsed="false">
      <c r="A31" s="23" t="s">
        <v>57</v>
      </c>
      <c r="B31" s="24" t="s">
        <v>434</v>
      </c>
      <c r="C31" s="24" t="s">
        <v>48</v>
      </c>
      <c r="D31" s="24" t="n">
        <f aca="false">SUM(D24,D25,D26)</f>
        <v>0</v>
      </c>
      <c r="E31" s="24" t="n">
        <f aca="false">SUM(E24,E25,E26)</f>
        <v>0</v>
      </c>
      <c r="F31" s="24" t="n">
        <f aca="false">SUM(F24,F25,F26)</f>
        <v>0</v>
      </c>
      <c r="G31" s="24" t="n">
        <f aca="false">SUM(G24,G25,G26)</f>
        <v>0</v>
      </c>
      <c r="H31" s="24" t="n">
        <f aca="false">SUM(H24,H25,H26)</f>
        <v>0</v>
      </c>
      <c r="I31" s="24" t="n">
        <f aca="false">SUM(I24,I25,I26)</f>
        <v>0</v>
      </c>
      <c r="J31" s="24" t="n">
        <f aca="false">SUM(J24,J25,J26)</f>
        <v>0</v>
      </c>
      <c r="K31" s="24" t="n">
        <f aca="false">SUM(K24,K25,K26)</f>
        <v>0</v>
      </c>
      <c r="L31" s="24" t="n">
        <f aca="false">SUM(L24,L25,L26)</f>
        <v>0</v>
      </c>
      <c r="M31" s="24" t="n">
        <f aca="false">SUM(M24,M25,M26)</f>
        <v>0</v>
      </c>
      <c r="N31" s="24" t="n">
        <f aca="false">SUM(N24,N25,N26)</f>
        <v>0</v>
      </c>
      <c r="O31" s="24" t="n">
        <f aca="false">SUM(O24,O25,O26)</f>
        <v>0</v>
      </c>
      <c r="P31" s="20" t="n">
        <f aca="false">D28+E28+F28+G28+H28+I28+J28+K28+L28+M28+N28+O28</f>
        <v>0</v>
      </c>
    </row>
    <row r="32" customFormat="false" ht="15" hidden="false" customHeight="true" outlineLevel="0" collapsed="false">
      <c r="A32" s="26" t="s">
        <v>57</v>
      </c>
      <c r="B32" s="27" t="s">
        <v>435</v>
      </c>
      <c r="C32" s="27" t="s">
        <v>48</v>
      </c>
      <c r="P32" s="27" t="n">
        <f aca="false">(D21+E21+F21+G21+H21+I21+J21+K21+L21+M21+N21+O21)+(D22+E22+F22+G22+H22+I22+J22+K22+L22+M22+N22+O22)+(D23+E23+F23+G23+H23+I23+J23+K23+L23+M23+N23+O23)</f>
        <v>0</v>
      </c>
    </row>
    <row r="33" customFormat="false" ht="15" hidden="false" customHeight="true" outlineLevel="0" collapsed="false">
      <c r="A33" s="12" t="s">
        <v>436</v>
      </c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5"/>
    </row>
    <row r="34" customFormat="false" ht="15" hidden="false" customHeight="true" outlineLevel="0" collapsed="false">
      <c r="A34" s="13" t="s">
        <v>437</v>
      </c>
      <c r="B34" s="14" t="s">
        <v>438</v>
      </c>
      <c r="C34" s="13" t="s">
        <v>226</v>
      </c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customFormat="false" ht="15" hidden="false" customHeight="true" outlineLevel="0" collapsed="false">
      <c r="A35" s="13" t="s">
        <v>439</v>
      </c>
      <c r="B35" s="14" t="s">
        <v>440</v>
      </c>
      <c r="C35" s="13" t="s">
        <v>226</v>
      </c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customFormat="false" ht="15" hidden="false" customHeight="false" outlineLevel="0" collapsed="false">
      <c r="A36" s="13" t="s">
        <v>441</v>
      </c>
      <c r="B36" s="14" t="s">
        <v>442</v>
      </c>
      <c r="C36" s="13" t="s">
        <v>226</v>
      </c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customFormat="false" ht="15" hidden="false" customHeight="false" outlineLevel="0" collapsed="false">
      <c r="A37" s="23" t="s">
        <v>57</v>
      </c>
      <c r="B37" s="24" t="s">
        <v>443</v>
      </c>
      <c r="C37" s="24" t="s">
        <v>226</v>
      </c>
      <c r="D37" s="24" t="n">
        <f aca="false">SUM(D30,D31,D32)</f>
        <v>0</v>
      </c>
      <c r="E37" s="24" t="n">
        <f aca="false">SUM(E30,E31,E32)</f>
        <v>0</v>
      </c>
      <c r="F37" s="24" t="n">
        <f aca="false">SUM(F30,F31,F32)</f>
        <v>0</v>
      </c>
      <c r="G37" s="24" t="n">
        <f aca="false">SUM(G30,G31,G32)</f>
        <v>0</v>
      </c>
      <c r="H37" s="24" t="n">
        <f aca="false">SUM(H30,H31,H32)</f>
        <v>0</v>
      </c>
      <c r="I37" s="24" t="n">
        <f aca="false">SUM(I30,I31,I32)</f>
        <v>0</v>
      </c>
      <c r="J37" s="24" t="n">
        <f aca="false">SUM(J30,J31,J32)</f>
        <v>0</v>
      </c>
      <c r="K37" s="24" t="n">
        <f aca="false">SUM(K30,K31,K32)</f>
        <v>0</v>
      </c>
      <c r="L37" s="24" t="n">
        <f aca="false">SUM(L30,L31,L32)</f>
        <v>0</v>
      </c>
      <c r="M37" s="24" t="n">
        <f aca="false">SUM(M30,M31,M32)</f>
        <v>0</v>
      </c>
      <c r="N37" s="24" t="n">
        <f aca="false">SUM(N30,N31,N32)</f>
        <v>0</v>
      </c>
      <c r="O37" s="24" t="n">
        <f aca="false">SUM(O30,O31,O32)</f>
        <v>0</v>
      </c>
      <c r="P37" s="20" t="n">
        <f aca="false">D33+E33+F33+G33+H33+I33+J33+K33+L33+M33+N33+O33</f>
        <v>0</v>
      </c>
    </row>
    <row r="38" customFormat="false" ht="15" hidden="false" customHeight="false" outlineLevel="0" collapsed="false">
      <c r="A38" s="13" t="s">
        <v>444</v>
      </c>
      <c r="B38" s="14" t="s">
        <v>445</v>
      </c>
      <c r="C38" s="13" t="s">
        <v>353</v>
      </c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</row>
    <row r="39" customFormat="false" ht="15" hidden="false" customHeight="false" outlineLevel="0" collapsed="false">
      <c r="A39" s="13" t="s">
        <v>446</v>
      </c>
      <c r="B39" s="14" t="s">
        <v>447</v>
      </c>
      <c r="C39" s="13" t="s">
        <v>48</v>
      </c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</row>
    <row r="40" customFormat="false" ht="15" hidden="false" customHeight="false" outlineLevel="0" collapsed="false">
      <c r="A40" s="26" t="s">
        <v>57</v>
      </c>
      <c r="B40" s="27" t="s">
        <v>448</v>
      </c>
      <c r="C40" s="27" t="s">
        <v>226</v>
      </c>
      <c r="P40" s="27" t="n">
        <f aca="false">(D26+E26+F26+G26+H26+I26+J26+K26+L26+M26+N26+O26)+(D27+E27+F27+G27+H27+I27+J27+K27+L27+M27+N27+O27)+(D28+E28+F28+G28+H28+I28+J28+K28+L28+M28+N28+O28)</f>
        <v>0</v>
      </c>
    </row>
  </sheetData>
  <mergeCells count="6">
    <mergeCell ref="A1:O1"/>
    <mergeCell ref="A2:O2"/>
    <mergeCell ref="A5:O5"/>
    <mergeCell ref="A11:O11"/>
    <mergeCell ref="A17:O17"/>
    <mergeCell ref="A23:O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5"/>
    <col collapsed="false" customWidth="true" hidden="false" outlineLevel="0" max="3" min="3" style="1" width="10"/>
    <col collapsed="false" customWidth="true" hidden="false" outlineLevel="0" max="15" min="4" style="1" width="14"/>
    <col collapsed="false" customWidth="true" hidden="false" outlineLevel="0" max="16" min="16" style="1" width="16"/>
  </cols>
  <sheetData>
    <row r="1" customFormat="false" ht="30" hidden="false" customHeight="true" outlineLevel="0" collapsed="false">
      <c r="A1" s="8" t="s">
        <v>449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</row>
    <row r="2" customFormat="false" ht="19.5" hidden="false" customHeight="true" outlineLevel="0" collapsed="false">
      <c r="A2" s="9" t="s">
        <v>28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4" customFormat="false" ht="24.75" hidden="false" customHeight="true" outlineLevel="0" collapsed="false">
      <c r="A4" s="10" t="s">
        <v>29</v>
      </c>
      <c r="B4" s="10" t="s">
        <v>30</v>
      </c>
      <c r="C4" s="10" t="s">
        <v>31</v>
      </c>
      <c r="D4" s="10" t="s">
        <v>32</v>
      </c>
      <c r="E4" s="10" t="s">
        <v>33</v>
      </c>
      <c r="F4" s="10" t="s">
        <v>34</v>
      </c>
      <c r="G4" s="10" t="s">
        <v>35</v>
      </c>
      <c r="H4" s="10" t="s">
        <v>36</v>
      </c>
      <c r="I4" s="10" t="s">
        <v>37</v>
      </c>
      <c r="J4" s="10" t="s">
        <v>38</v>
      </c>
      <c r="K4" s="10" t="s">
        <v>39</v>
      </c>
      <c r="L4" s="10" t="s">
        <v>40</v>
      </c>
      <c r="M4" s="10" t="s">
        <v>41</v>
      </c>
      <c r="N4" s="10" t="s">
        <v>42</v>
      </c>
      <c r="O4" s="10" t="s">
        <v>43</v>
      </c>
      <c r="P4" s="11" t="s">
        <v>44</v>
      </c>
    </row>
    <row r="5" customFormat="false" ht="21.75" hidden="false" customHeight="true" outlineLevel="0" collapsed="false">
      <c r="A5" s="12" t="s">
        <v>450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</row>
    <row r="6" customFormat="false" ht="19.5" hidden="false" customHeight="true" outlineLevel="0" collapsed="false">
      <c r="A6" s="13" t="s">
        <v>451</v>
      </c>
      <c r="B6" s="14" t="s">
        <v>452</v>
      </c>
      <c r="C6" s="13" t="s">
        <v>48</v>
      </c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</row>
    <row r="7" customFormat="false" ht="19.5" hidden="false" customHeight="true" outlineLevel="0" collapsed="false">
      <c r="A7" s="13" t="s">
        <v>453</v>
      </c>
      <c r="B7" s="14" t="s">
        <v>454</v>
      </c>
      <c r="C7" s="13" t="s">
        <v>226</v>
      </c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</row>
    <row r="8" customFormat="false" ht="21.75" hidden="false" customHeight="true" outlineLevel="0" collapsed="false">
      <c r="A8" s="19" t="s">
        <v>57</v>
      </c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20" t="n">
        <f aca="false">D8+E8+F8+G8+H8+I8+J8+K8+L8+M8+N8+O8</f>
        <v>0</v>
      </c>
    </row>
    <row r="9" customFormat="false" ht="19.5" hidden="false" customHeight="true" outlineLevel="0" collapsed="false">
      <c r="A9" s="12" t="s">
        <v>455</v>
      </c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2"/>
    </row>
    <row r="10" customFormat="false" ht="19.5" hidden="false" customHeight="true" outlineLevel="0" collapsed="false">
      <c r="A10" s="13" t="s">
        <v>456</v>
      </c>
      <c r="B10" s="14" t="s">
        <v>457</v>
      </c>
      <c r="C10" s="13" t="s">
        <v>48</v>
      </c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</row>
    <row r="11" customFormat="false" ht="19.5" hidden="false" customHeight="true" outlineLevel="0" collapsed="false">
      <c r="A11" s="13" t="s">
        <v>458</v>
      </c>
      <c r="B11" s="14" t="s">
        <v>459</v>
      </c>
      <c r="C11" s="13" t="s">
        <v>48</v>
      </c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</row>
    <row r="12" customFormat="false" ht="19.5" hidden="false" customHeight="true" outlineLevel="0" collapsed="false">
      <c r="A12" s="13" t="s">
        <v>460</v>
      </c>
      <c r="B12" s="14" t="s">
        <v>461</v>
      </c>
      <c r="C12" s="13" t="s">
        <v>48</v>
      </c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</row>
    <row r="13" customFormat="false" ht="19.5" hidden="false" customHeight="true" outlineLevel="0" collapsed="false">
      <c r="A13" s="13" t="s">
        <v>462</v>
      </c>
      <c r="B13" s="14" t="s">
        <v>463</v>
      </c>
      <c r="C13" s="13" t="s">
        <v>48</v>
      </c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</row>
    <row r="14" customFormat="false" ht="19.5" hidden="false" customHeight="true" outlineLevel="0" collapsed="false">
      <c r="A14" s="13" t="s">
        <v>464</v>
      </c>
      <c r="B14" s="14" t="s">
        <v>465</v>
      </c>
      <c r="C14" s="13" t="s">
        <v>48</v>
      </c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</row>
    <row r="15" customFormat="false" ht="21.75" hidden="false" customHeight="true" outlineLevel="0" collapsed="false">
      <c r="A15" s="16" t="s">
        <v>466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</row>
    <row r="16" customFormat="false" ht="19.5" hidden="false" customHeight="true" outlineLevel="0" collapsed="false">
      <c r="A16" s="23" t="s">
        <v>57</v>
      </c>
      <c r="B16" s="24" t="s">
        <v>467</v>
      </c>
      <c r="C16" s="24" t="s">
        <v>48</v>
      </c>
      <c r="D16" s="24" t="n">
        <f aca="false">SUM(D9,D10,D11,D12,D13)</f>
        <v>0</v>
      </c>
      <c r="E16" s="24" t="n">
        <f aca="false">SUM(E9,E10,E11,E12,E13)</f>
        <v>0</v>
      </c>
      <c r="F16" s="24" t="n">
        <f aca="false">SUM(F9,F10,F11,F12,F13)</f>
        <v>0</v>
      </c>
      <c r="G16" s="24" t="n">
        <f aca="false">SUM(G9,G10,G11,G12,G13)</f>
        <v>0</v>
      </c>
      <c r="H16" s="24" t="n">
        <f aca="false">SUM(H9,H10,H11,H12,H13)</f>
        <v>0</v>
      </c>
      <c r="I16" s="24" t="n">
        <f aca="false">SUM(I9,I10,I11,I12,I13)</f>
        <v>0</v>
      </c>
      <c r="J16" s="24" t="n">
        <f aca="false">SUM(J9,J10,J11,J12,J13)</f>
        <v>0</v>
      </c>
      <c r="K16" s="24" t="n">
        <f aca="false">SUM(K9,K10,K11,K12,K13)</f>
        <v>0</v>
      </c>
      <c r="L16" s="24" t="n">
        <f aca="false">SUM(L9,L10,L11,L12,L13)</f>
        <v>0</v>
      </c>
      <c r="M16" s="24" t="n">
        <f aca="false">SUM(M9,M10,M11,M12,M13)</f>
        <v>0</v>
      </c>
      <c r="N16" s="24" t="n">
        <f aca="false">SUM(N9,N10,N11,N12,N13)</f>
        <v>0</v>
      </c>
      <c r="O16" s="24" t="n">
        <f aca="false">SUM(O9,O10,O11,O12,O13)</f>
        <v>0</v>
      </c>
      <c r="P16" s="20" t="n">
        <f aca="false">D15+E15+F15+G15+H15+I15+J15+K15+L15+M15+N15+O15</f>
        <v>0</v>
      </c>
    </row>
    <row r="17" customFormat="false" ht="19.5" hidden="false" customHeight="true" outlineLevel="0" collapsed="false">
      <c r="A17" s="12" t="s">
        <v>468</v>
      </c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2"/>
    </row>
    <row r="18" customFormat="false" ht="21.75" hidden="false" customHeight="true" outlineLevel="0" collapsed="false">
      <c r="A18" s="13" t="s">
        <v>469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</row>
    <row r="19" customFormat="false" ht="19.5" hidden="false" customHeight="true" outlineLevel="0" collapsed="false">
      <c r="A19" s="13" t="s">
        <v>470</v>
      </c>
      <c r="B19" s="14" t="s">
        <v>471</v>
      </c>
      <c r="C19" s="13" t="s">
        <v>353</v>
      </c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</row>
    <row r="20" customFormat="false" ht="19.5" hidden="false" customHeight="true" outlineLevel="0" collapsed="false">
      <c r="A20" s="12" t="s">
        <v>472</v>
      </c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2"/>
    </row>
    <row r="21" customFormat="false" ht="19.5" hidden="false" customHeight="true" outlineLevel="0" collapsed="false">
      <c r="A21" s="13" t="s">
        <v>473</v>
      </c>
      <c r="B21" s="14" t="s">
        <v>474</v>
      </c>
      <c r="C21" s="13" t="s">
        <v>48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</row>
    <row r="22" customFormat="false" ht="19.5" hidden="false" customHeight="true" outlineLevel="0" collapsed="false">
      <c r="A22" s="13" t="s">
        <v>475</v>
      </c>
      <c r="B22" s="14" t="s">
        <v>476</v>
      </c>
      <c r="C22" s="13" t="s">
        <v>226</v>
      </c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customFormat="false" ht="19.5" hidden="false" customHeight="true" outlineLevel="0" collapsed="false">
      <c r="A23" s="13" t="s">
        <v>477</v>
      </c>
      <c r="B23" s="14" t="s">
        <v>478</v>
      </c>
      <c r="C23" s="13" t="s">
        <v>226</v>
      </c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customFormat="false" ht="21.75" hidden="false" customHeight="true" outlineLevel="0" collapsed="false">
      <c r="A24" s="13" t="s">
        <v>479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</row>
    <row r="25" customFormat="false" ht="19.5" hidden="false" customHeight="true" outlineLevel="0" collapsed="false">
      <c r="A25" s="23" t="s">
        <v>57</v>
      </c>
      <c r="B25" s="24" t="s">
        <v>480</v>
      </c>
      <c r="C25" s="24" t="s">
        <v>226</v>
      </c>
      <c r="D25" s="24" t="n">
        <f aca="false">SUM(D20,D21,D22)</f>
        <v>0</v>
      </c>
      <c r="E25" s="24" t="n">
        <f aca="false">SUM(E20,E21,E22)</f>
        <v>0</v>
      </c>
      <c r="F25" s="24" t="n">
        <f aca="false">SUM(F20,F21,F22)</f>
        <v>0</v>
      </c>
      <c r="G25" s="24" t="n">
        <f aca="false">SUM(G20,G21,G22)</f>
        <v>0</v>
      </c>
      <c r="H25" s="24" t="n">
        <f aca="false">SUM(H20,H21,H22)</f>
        <v>0</v>
      </c>
      <c r="I25" s="24" t="n">
        <f aca="false">SUM(I20,I21,I22)</f>
        <v>0</v>
      </c>
      <c r="J25" s="24" t="n">
        <f aca="false">SUM(J20,J21,J22)</f>
        <v>0</v>
      </c>
      <c r="K25" s="24" t="n">
        <f aca="false">SUM(K20,K21,K22)</f>
        <v>0</v>
      </c>
      <c r="L25" s="24" t="n">
        <f aca="false">SUM(L20,L21,L22)</f>
        <v>0</v>
      </c>
      <c r="M25" s="24" t="n">
        <f aca="false">SUM(M20,M21,M22)</f>
        <v>0</v>
      </c>
      <c r="N25" s="24" t="n">
        <f aca="false">SUM(N20,N21,N22)</f>
        <v>0</v>
      </c>
      <c r="O25" s="24" t="n">
        <f aca="false">SUM(O20,O21,O22)</f>
        <v>0</v>
      </c>
      <c r="P25" s="20" t="n">
        <f aca="false">D23+E23+F23+G23+H23+I23+J23+K23+L23+M23+N23+O23</f>
        <v>0</v>
      </c>
    </row>
    <row r="26" customFormat="false" ht="19.5" hidden="false" customHeight="true" outlineLevel="0" collapsed="false">
      <c r="A26" s="13" t="s">
        <v>481</v>
      </c>
      <c r="B26" s="14" t="s">
        <v>482</v>
      </c>
      <c r="C26" s="13" t="s">
        <v>483</v>
      </c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</row>
    <row r="27" customFormat="false" ht="19.5" hidden="false" customHeight="true" outlineLevel="0" collapsed="false">
      <c r="A27" s="12" t="s">
        <v>484</v>
      </c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2"/>
    </row>
    <row r="28" customFormat="false" ht="19.5" hidden="false" customHeight="true" outlineLevel="0" collapsed="false">
      <c r="A28" s="13" t="s">
        <v>485</v>
      </c>
      <c r="B28" s="14" t="s">
        <v>486</v>
      </c>
      <c r="C28" s="13" t="s">
        <v>48</v>
      </c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customFormat="false" ht="19.5" hidden="false" customHeight="true" outlineLevel="0" collapsed="false">
      <c r="A29" s="13" t="s">
        <v>487</v>
      </c>
      <c r="B29" s="14" t="s">
        <v>488</v>
      </c>
      <c r="C29" s="13" t="s">
        <v>226</v>
      </c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customFormat="false" ht="21.75" hidden="false" customHeight="true" outlineLevel="0" collapsed="false">
      <c r="A30" s="13" t="s">
        <v>489</v>
      </c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</row>
    <row r="31" customFormat="false" ht="19.5" hidden="false" customHeight="true" outlineLevel="0" collapsed="false">
      <c r="A31" s="13" t="s">
        <v>490</v>
      </c>
      <c r="B31" s="14" t="s">
        <v>491</v>
      </c>
      <c r="C31" s="13" t="s">
        <v>226</v>
      </c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customFormat="false" ht="19.5" hidden="false" customHeight="true" outlineLevel="0" collapsed="false">
      <c r="A32" s="23" t="s">
        <v>57</v>
      </c>
      <c r="B32" s="24" t="s">
        <v>492</v>
      </c>
      <c r="C32" s="24" t="s">
        <v>226</v>
      </c>
      <c r="D32" s="24" t="n">
        <f aca="false">SUM(D26,D27,D28)</f>
        <v>0</v>
      </c>
      <c r="E32" s="24" t="n">
        <f aca="false">SUM(E26,E27,E28)</f>
        <v>0</v>
      </c>
      <c r="F32" s="24" t="n">
        <f aca="false">SUM(F26,F27,F28)</f>
        <v>0</v>
      </c>
      <c r="G32" s="24" t="n">
        <f aca="false">SUM(G26,G27,G28)</f>
        <v>0</v>
      </c>
      <c r="H32" s="24" t="n">
        <f aca="false">SUM(H26,H27,H28)</f>
        <v>0</v>
      </c>
      <c r="I32" s="24" t="n">
        <f aca="false">SUM(I26,I27,I28)</f>
        <v>0</v>
      </c>
      <c r="J32" s="24" t="n">
        <f aca="false">SUM(J26,J27,J28)</f>
        <v>0</v>
      </c>
      <c r="K32" s="24" t="n">
        <f aca="false">SUM(K26,K27,K28)</f>
        <v>0</v>
      </c>
      <c r="L32" s="24" t="n">
        <f aca="false">SUM(L26,L27,L28)</f>
        <v>0</v>
      </c>
      <c r="M32" s="24" t="n">
        <f aca="false">SUM(M26,M27,M28)</f>
        <v>0</v>
      </c>
      <c r="N32" s="24" t="n">
        <f aca="false">SUM(N26,N27,N28)</f>
        <v>0</v>
      </c>
      <c r="O32" s="24" t="n">
        <f aca="false">SUM(O26,O27,O28)</f>
        <v>0</v>
      </c>
      <c r="P32" s="20" t="n">
        <f aca="false">D29+E29+F29+G29+H29+I29+J29+K29+L29+M29+N29+O29</f>
        <v>0</v>
      </c>
    </row>
    <row r="33" customFormat="false" ht="19.5" hidden="false" customHeight="true" outlineLevel="0" collapsed="false">
      <c r="A33" s="13" t="s">
        <v>493</v>
      </c>
      <c r="B33" s="14" t="s">
        <v>494</v>
      </c>
      <c r="C33" s="13" t="s">
        <v>483</v>
      </c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</row>
    <row r="34" customFormat="false" ht="19.5" hidden="false" customHeight="true" outlineLevel="0" collapsed="false">
      <c r="A34" s="12" t="s">
        <v>495</v>
      </c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2"/>
    </row>
    <row r="35" customFormat="false" ht="19.5" hidden="false" customHeight="true" outlineLevel="0" collapsed="false">
      <c r="A35" s="13" t="s">
        <v>496</v>
      </c>
      <c r="B35" s="14" t="s">
        <v>497</v>
      </c>
      <c r="C35" s="13" t="s">
        <v>48</v>
      </c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</row>
    <row r="36" customFormat="false" ht="21.75" hidden="false" customHeight="true" outlineLevel="0" collapsed="false">
      <c r="A36" s="13" t="s">
        <v>498</v>
      </c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</row>
    <row r="37" customFormat="false" ht="19.5" hidden="false" customHeight="true" outlineLevel="0" collapsed="false">
      <c r="A37" s="13" t="s">
        <v>499</v>
      </c>
      <c r="B37" s="14" t="s">
        <v>500</v>
      </c>
      <c r="C37" s="13" t="s">
        <v>226</v>
      </c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customFormat="false" ht="19.5" hidden="false" customHeight="true" outlineLevel="0" collapsed="false">
      <c r="A38" s="13" t="s">
        <v>501</v>
      </c>
      <c r="B38" s="14" t="s">
        <v>502</v>
      </c>
      <c r="C38" s="13" t="s">
        <v>226</v>
      </c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customFormat="false" ht="19.5" hidden="false" customHeight="true" outlineLevel="0" collapsed="false">
      <c r="A39" s="23" t="s">
        <v>57</v>
      </c>
      <c r="B39" s="24" t="s">
        <v>503</v>
      </c>
      <c r="C39" s="24" t="s">
        <v>226</v>
      </c>
      <c r="D39" s="24" t="n">
        <f aca="false">SUM(D32,D33,D34)</f>
        <v>0</v>
      </c>
      <c r="E39" s="24" t="n">
        <f aca="false">SUM(E32,E33,E34)</f>
        <v>0</v>
      </c>
      <c r="F39" s="24" t="n">
        <f aca="false">SUM(F32,F33,F34)</f>
        <v>0</v>
      </c>
      <c r="G39" s="24" t="n">
        <f aca="false">SUM(G32,G33,G34)</f>
        <v>0</v>
      </c>
      <c r="H39" s="24" t="n">
        <f aca="false">SUM(H32,H33,H34)</f>
        <v>0</v>
      </c>
      <c r="I39" s="24" t="n">
        <f aca="false">SUM(I32,I33,I34)</f>
        <v>0</v>
      </c>
      <c r="J39" s="24" t="n">
        <f aca="false">SUM(J32,J33,J34)</f>
        <v>0</v>
      </c>
      <c r="K39" s="24" t="n">
        <f aca="false">SUM(K32,K33,K34)</f>
        <v>0</v>
      </c>
      <c r="L39" s="24" t="n">
        <f aca="false">SUM(L32,L33,L34)</f>
        <v>0</v>
      </c>
      <c r="M39" s="24" t="n">
        <f aca="false">SUM(M32,M33,M34)</f>
        <v>0</v>
      </c>
      <c r="N39" s="24" t="n">
        <f aca="false">SUM(N32,N33,N34)</f>
        <v>0</v>
      </c>
      <c r="O39" s="24" t="n">
        <f aca="false">SUM(O32,O33,O34)</f>
        <v>0</v>
      </c>
      <c r="P39" s="20" t="n">
        <f aca="false">D35+E35+F35+G35+H35+I35+J35+K35+L35+M35+N35+O35</f>
        <v>0</v>
      </c>
    </row>
    <row r="40" customFormat="false" ht="19.5" hidden="false" customHeight="true" outlineLevel="0" collapsed="false">
      <c r="A40" s="13" t="s">
        <v>504</v>
      </c>
      <c r="B40" s="14" t="s">
        <v>505</v>
      </c>
      <c r="C40" s="13" t="s">
        <v>483</v>
      </c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</row>
    <row r="41" customFormat="false" ht="19.5" hidden="false" customHeight="true" outlineLevel="0" collapsed="false">
      <c r="A41" s="12" t="s">
        <v>506</v>
      </c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2"/>
    </row>
    <row r="42" customFormat="false" ht="15" hidden="false" customHeight="true" outlineLevel="0" collapsed="false">
      <c r="A42" s="13" t="s">
        <v>507</v>
      </c>
      <c r="B42" s="14" t="s">
        <v>508</v>
      </c>
      <c r="C42" s="13" t="s">
        <v>48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</row>
    <row r="43" customFormat="false" ht="15" hidden="false" customHeight="true" outlineLevel="0" collapsed="false">
      <c r="A43" s="13" t="s">
        <v>509</v>
      </c>
      <c r="B43" s="14" t="s">
        <v>510</v>
      </c>
      <c r="C43" s="13" t="s">
        <v>226</v>
      </c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customFormat="false" ht="15" hidden="false" customHeight="true" outlineLevel="0" collapsed="false">
      <c r="A44" s="13" t="s">
        <v>511</v>
      </c>
      <c r="B44" s="14" t="s">
        <v>512</v>
      </c>
      <c r="C44" s="13" t="s">
        <v>226</v>
      </c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customFormat="false" ht="15" hidden="false" customHeight="true" outlineLevel="0" collapsed="false">
      <c r="A45" s="13" t="s">
        <v>513</v>
      </c>
      <c r="B45" s="14" t="s">
        <v>514</v>
      </c>
      <c r="C45" s="13" t="s">
        <v>226</v>
      </c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customFormat="false" ht="15" hidden="false" customHeight="true" outlineLevel="0" collapsed="false">
      <c r="A46" s="23" t="s">
        <v>57</v>
      </c>
      <c r="B46" s="24" t="s">
        <v>515</v>
      </c>
      <c r="C46" s="24" t="s">
        <v>226</v>
      </c>
      <c r="D46" s="24" t="n">
        <f aca="false">SUM(D38,D39,D40)</f>
        <v>0</v>
      </c>
      <c r="E46" s="24" t="n">
        <f aca="false">SUM(E38,E39,E40)</f>
        <v>0</v>
      </c>
      <c r="F46" s="24" t="n">
        <f aca="false">SUM(F38,F39,F40)</f>
        <v>0</v>
      </c>
      <c r="G46" s="24" t="n">
        <f aca="false">SUM(G38,G39,G40)</f>
        <v>0</v>
      </c>
      <c r="H46" s="24" t="n">
        <f aca="false">SUM(H38,H39,H40)</f>
        <v>0</v>
      </c>
      <c r="I46" s="24" t="n">
        <f aca="false">SUM(I38,I39,I40)</f>
        <v>0</v>
      </c>
      <c r="J46" s="24" t="n">
        <f aca="false">SUM(J38,J39,J40)</f>
        <v>0</v>
      </c>
      <c r="K46" s="24" t="n">
        <f aca="false">SUM(K38,K39,K40)</f>
        <v>0</v>
      </c>
      <c r="L46" s="24" t="n">
        <f aca="false">SUM(L38,L39,L40)</f>
        <v>0</v>
      </c>
      <c r="M46" s="24" t="n">
        <f aca="false">SUM(M38,M39,M40)</f>
        <v>0</v>
      </c>
      <c r="N46" s="24" t="n">
        <f aca="false">SUM(N38,N39,N40)</f>
        <v>0</v>
      </c>
      <c r="O46" s="24" t="n">
        <f aca="false">SUM(O38,O39,O40)</f>
        <v>0</v>
      </c>
      <c r="P46" s="20" t="n">
        <f aca="false">D41+E41+F41+G41+H41+I41+J41+K41+L41+M41+N41+O41</f>
        <v>0</v>
      </c>
    </row>
    <row r="47" customFormat="false" ht="15" hidden="false" customHeight="true" outlineLevel="0" collapsed="false">
      <c r="A47" s="13" t="s">
        <v>516</v>
      </c>
      <c r="B47" s="14" t="s">
        <v>517</v>
      </c>
      <c r="C47" s="13" t="s">
        <v>483</v>
      </c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</row>
    <row r="48" customFormat="false" ht="15" hidden="false" customHeight="true" outlineLevel="0" collapsed="false">
      <c r="A48" s="26" t="s">
        <v>57</v>
      </c>
      <c r="B48" s="27" t="s">
        <v>518</v>
      </c>
      <c r="C48" s="27" t="s">
        <v>48</v>
      </c>
      <c r="P48" s="27" t="n">
        <f aca="false">(D6+E6+F6+G6+H6+I6+J6+K6+L6+M6+N6+O6)</f>
        <v>0</v>
      </c>
    </row>
    <row r="49" customFormat="false" ht="15" hidden="false" customHeight="true" outlineLevel="0" collapsed="false">
      <c r="A49" s="26" t="s">
        <v>57</v>
      </c>
      <c r="B49" s="27" t="s">
        <v>519</v>
      </c>
      <c r="C49" s="27" t="s">
        <v>48</v>
      </c>
      <c r="P49" s="27" t="n">
        <f aca="false">(D9+E9+F9+G9+H9+I9+J9+K9+L9+M9+N9+O9)+(D10+E10+F10+G10+H10+I10+J10+K10+L10+M10+N10+O10)+(D11+E11+F11+G11+H11+I11+J11+K11+L11+M11+N11+O11)+(D12+E12+F12+G12+H12+I12+J12+K12+L12+M12+N12+O12)+(D13+E13+F13+G13+H13+I13+J13+K13+L13+M13+N13+O13)</f>
        <v>0</v>
      </c>
    </row>
    <row r="50" customFormat="false" ht="15" hidden="false" customHeight="true" outlineLevel="0" collapsed="false">
      <c r="A50" s="26" t="s">
        <v>57</v>
      </c>
      <c r="B50" s="27" t="s">
        <v>520</v>
      </c>
      <c r="C50" s="27" t="s">
        <v>226</v>
      </c>
      <c r="P50" s="27" t="n">
        <f aca="false">(D20+E20+F20+G20+H20+I20+J20+K20+L20+M20+N20+O20)</f>
        <v>0</v>
      </c>
    </row>
    <row r="51" customFormat="false" ht="15" hidden="false" customHeight="true" outlineLevel="0" collapsed="false">
      <c r="A51" s="26" t="s">
        <v>57</v>
      </c>
      <c r="B51" s="27" t="s">
        <v>521</v>
      </c>
      <c r="C51" s="27" t="s">
        <v>226</v>
      </c>
      <c r="P51" s="27" t="n">
        <f aca="false">(D21+E21+F21+G21+H21+I21+J21+K21+L21+M21+N21+O21)</f>
        <v>0</v>
      </c>
    </row>
    <row r="52" customFormat="false" ht="15" hidden="false" customHeight="true" outlineLevel="0" collapsed="false">
      <c r="A52" s="26" t="s">
        <v>57</v>
      </c>
      <c r="B52" s="27" t="s">
        <v>522</v>
      </c>
      <c r="C52" s="27" t="s">
        <v>226</v>
      </c>
      <c r="P52" s="27" t="n">
        <f aca="false">(D22+E22+F22+G22+H22+I22+J22+K22+L22+M22+N22+O22)</f>
        <v>0</v>
      </c>
    </row>
    <row r="53" customFormat="false" ht="15" hidden="false" customHeight="true" outlineLevel="0" collapsed="false">
      <c r="A53" s="26" t="s">
        <v>57</v>
      </c>
      <c r="B53" s="27" t="s">
        <v>523</v>
      </c>
      <c r="C53" s="27" t="s">
        <v>226</v>
      </c>
      <c r="P53" s="27" t="n">
        <f aca="false">(D26+E26+F26+G26+H26+I26+J26+K26+L26+M26+N26+O26)</f>
        <v>0</v>
      </c>
    </row>
    <row r="54" customFormat="false" ht="15" hidden="false" customHeight="true" outlineLevel="0" collapsed="false">
      <c r="A54" s="26" t="s">
        <v>57</v>
      </c>
      <c r="B54" s="27" t="s">
        <v>524</v>
      </c>
      <c r="C54" s="27" t="s">
        <v>226</v>
      </c>
      <c r="P54" s="27" t="n">
        <f aca="false">(D27+E27+F27+G27+H27+I27+J27+K27+L27+M27+N27+O27)</f>
        <v>0</v>
      </c>
    </row>
    <row r="55" customFormat="false" ht="15" hidden="false" customHeight="true" outlineLevel="0" collapsed="false">
      <c r="A55" s="26" t="s">
        <v>57</v>
      </c>
      <c r="B55" s="27" t="s">
        <v>525</v>
      </c>
      <c r="C55" s="27" t="s">
        <v>226</v>
      </c>
      <c r="P55" s="27" t="n">
        <f aca="false">(D28+E28+F28+G28+H28+I28+J28+K28+L28+M28+N28+O28)</f>
        <v>0</v>
      </c>
    </row>
    <row r="56" customFormat="false" ht="15" hidden="false" customHeight="false" outlineLevel="0" collapsed="false">
      <c r="A56" s="26" t="s">
        <v>57</v>
      </c>
      <c r="B56" s="27" t="s">
        <v>526</v>
      </c>
      <c r="C56" s="27" t="s">
        <v>226</v>
      </c>
      <c r="P56" s="27" t="n">
        <f aca="false">(D32+E32+F32+G32+H32+I32+J32+K32+L32+M32+N32+O32)</f>
        <v>0</v>
      </c>
    </row>
    <row r="57" customFormat="false" ht="15" hidden="false" customHeight="false" outlineLevel="0" collapsed="false">
      <c r="A57" s="26" t="s">
        <v>57</v>
      </c>
      <c r="B57" s="27" t="s">
        <v>527</v>
      </c>
      <c r="C57" s="27" t="s">
        <v>226</v>
      </c>
      <c r="P57" s="27" t="n">
        <f aca="false">(D33+E33+F33+G33+H33+I33+J33+K33+L33+M33+N33+O33)</f>
        <v>0</v>
      </c>
    </row>
    <row r="58" customFormat="false" ht="15" hidden="false" customHeight="false" outlineLevel="0" collapsed="false">
      <c r="A58" s="26" t="s">
        <v>57</v>
      </c>
      <c r="B58" s="27" t="s">
        <v>528</v>
      </c>
      <c r="C58" s="27" t="s">
        <v>226</v>
      </c>
      <c r="P58" s="27" t="n">
        <f aca="false">(D34+E34+F34+G34+H34+I34+J34+K34+L34+M34+N34+O34)</f>
        <v>0</v>
      </c>
    </row>
    <row r="59" customFormat="false" ht="15" hidden="false" customHeight="false" outlineLevel="0" collapsed="false">
      <c r="A59" s="26" t="s">
        <v>57</v>
      </c>
      <c r="B59" s="27" t="s">
        <v>529</v>
      </c>
      <c r="C59" s="27" t="s">
        <v>226</v>
      </c>
      <c r="P59" s="27" t="n">
        <f aca="false">(D38+E38+F38+G38+H38+I38+J38+K38+L38+M38+N38+O38)</f>
        <v>0</v>
      </c>
    </row>
    <row r="60" customFormat="false" ht="15" hidden="false" customHeight="false" outlineLevel="0" collapsed="false">
      <c r="A60" s="26" t="s">
        <v>57</v>
      </c>
      <c r="B60" s="27" t="s">
        <v>530</v>
      </c>
      <c r="C60" s="27" t="s">
        <v>226</v>
      </c>
      <c r="P60" s="27" t="n">
        <f aca="false">(D39+E39+F39+G39+H39+I39+J39+K39+L39+M39+N39+O39)</f>
        <v>0</v>
      </c>
    </row>
    <row r="61" customFormat="false" ht="15" hidden="false" customHeight="false" outlineLevel="0" collapsed="false">
      <c r="A61" s="26" t="s">
        <v>57</v>
      </c>
      <c r="B61" s="27" t="s">
        <v>531</v>
      </c>
      <c r="C61" s="27" t="s">
        <v>226</v>
      </c>
      <c r="P61" s="27" t="n">
        <f aca="false">(D40+E40+F40+G40+H40+I40+J40+K40+L40+M40+N40+O40)</f>
        <v>0</v>
      </c>
    </row>
  </sheetData>
  <mergeCells count="9">
    <mergeCell ref="A1:O1"/>
    <mergeCell ref="A2:O2"/>
    <mergeCell ref="A5:O5"/>
    <mergeCell ref="A8:O8"/>
    <mergeCell ref="A15:O15"/>
    <mergeCell ref="A18:O18"/>
    <mergeCell ref="A24:O24"/>
    <mergeCell ref="A30:O30"/>
    <mergeCell ref="A36:O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2026-03-28T20:57:14Z</dcterms:created>
  <dc:creator>openpyxl</dc:creator>
  <dc:description/>
  <dc:language>en-US</dc:language>
  <cp:lastModifiedBy/>
  <dcterms:modified xsi:type="dcterms:W3CDTF">2026-04-22T17:04:56Z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